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603ad16b3eaad/Desktop/"/>
    </mc:Choice>
  </mc:AlternateContent>
  <xr:revisionPtr revIDLastSave="3691" documentId="8_{9A4DE630-85E0-4BE9-8803-E738726F89F2}" xr6:coauthVersionLast="47" xr6:coauthVersionMax="47" xr10:uidLastSave="{66F7BCB9-C29E-4DFD-AF83-5956406D467F}"/>
  <bookViews>
    <workbookView xWindow="-110" yWindow="-110" windowWidth="19420" windowHeight="10300" tabRatio="350" firstSheet="1" activeTab="1" xr2:uid="{81652713-648B-42F1-9A50-6848C8D6DCB3}"/>
  </bookViews>
  <sheets>
    <sheet name="🏠 Inicio" sheetId="15" r:id="rId1"/>
    <sheet name="Portafolio" sheetId="2" r:id="rId2"/>
    <sheet name="Dashboard" sheetId="3" r:id="rId3"/>
    <sheet name="Graficos Dashboard" sheetId="10" r:id="rId4"/>
    <sheet name="Base de Datos" sheetId="9" r:id="rId5"/>
    <sheet name="HHIReal" sheetId="7" r:id="rId6"/>
    <sheet name="Historial" sheetId="12" r:id="rId7"/>
  </sheets>
  <definedNames>
    <definedName name="_xlnm.Print_Area" localSheetId="1">Portafolio!$A$3:$L$32</definedName>
    <definedName name="glide_00b9008d1d6a4fb08f00fb8f3ed0a5fe" comment="📉 Historial" localSheetId="1">Portafolio!$D$1:$D$1</definedName>
    <definedName name="glide_02bdecda1bc44110bb29b5943d4e6ea9" comment="🔒 Row ID" localSheetId="5">HHIReal!$AB$1:$AB$1</definedName>
    <definedName name="glide_03745db9d5b9469daee76b6453a3b846" comment="📉 Historial" localSheetId="6">Historial!$D$1:$D$1</definedName>
    <definedName name="glide_03af792a41e5459084b10d5e26191ab8" comment="column13" localSheetId="3">'Graficos Dashboard'!$M$1:$M$1</definedName>
    <definedName name="glide_03dd303c81de46b4837b963ba270cc85" comment="column22" localSheetId="5">HHIReal!$V$1:$V$1</definedName>
    <definedName name="glide_0529e22de56146bd8e92d99332e37d2e" comment="column13" localSheetId="5">HHIReal!$M$1:$M$1</definedName>
    <definedName name="glide_0b1f3f60c44548448f37849b0927d3b6" comment="column10" localSheetId="6">Historial!$J$1:$J$1</definedName>
    <definedName name="glide_0dcef37f1dbd465b9870fc4bb1dc4e35" comment="column14" localSheetId="5">HHIReal!$N$1:$N$1</definedName>
    <definedName name="glide_0f103fe39a044c6f8027fa305708569a" comment="column20" localSheetId="5">HHIReal!$T$1:$T$1</definedName>
    <definedName name="glide_0f3bb8200dd54567a43ff2ddaa3edc4e" comment="column14" localSheetId="1">Portafolio!$N$1:$N$1</definedName>
    <definedName name="glide_136f0db2dc114f8e9421af329aaa6af5" comment="column11" localSheetId="5">HHIReal!$K$1:$K$1</definedName>
    <definedName name="glide_142a26aca42a44aba2e0be3f9d0e3454" comment="📈 Portafolio" localSheetId="4">'Base de Datos'!$B$1:$B$1</definedName>
    <definedName name="glide_17b389b334c841d9825a938c520714ce" comment="🔒 Row ID" localSheetId="0">'🏠 Inicio'!$N$4:$N$4</definedName>
    <definedName name="glide_1a163bc9f7274a0aba38cd34512c59c9" comment="column8" localSheetId="6">Historial!$H$1:$H$1</definedName>
    <definedName name="glide_1a1880b3c49744dab34f2feb7b4546ea" comment="column23" localSheetId="5">HHIReal!$W$1:$W$1</definedName>
    <definedName name="glide_1c48590757bd40428c52ab15a10ea314" comment="column24" localSheetId="4">'Base de Datos'!$X$1:$X$1</definedName>
    <definedName name="glide_1e6f6b567dab4b05886445942e8bc020" comment="column10" localSheetId="5">HHIReal!$J$1:$J$1</definedName>
    <definedName name="glide_21f004beff2345f6a6cdc5e4abd7fc3d" comment="column12" localSheetId="1">Portafolio!$L$1:$L$1</definedName>
    <definedName name="glide_279bce3f90024551a53cc84863ca9b2f" comment="column12" localSheetId="5">HHIReal!$L$1:$L$1</definedName>
    <definedName name="glide_2b663f0ca5fd45b3bdf0c248e89807d1" comment="column8" localSheetId="4">'Base de Datos'!$H$1:$H$1</definedName>
    <definedName name="glide_2d80e0f866a4456e9ed39c3fc3d0724c" comment="column16" localSheetId="5">HHIReal!$P$1:$P$1</definedName>
    <definedName name="glide_31289df1aff54e39b3efbd0a7ae0cd8c" comment="📉 Historial" localSheetId="5">HHIReal!$D$1:$D$1</definedName>
    <definedName name="glide_36346f2ae6c4416e95586abd7de31602" comment="column10" localSheetId="3">'Graficos Dashboard'!$J$1:$J$1</definedName>
    <definedName name="glide_36d56d6f538a44599c65bfa6d1893eb6" comment="column13" localSheetId="1">Portafolio!$M$1:$M$1</definedName>
    <definedName name="glide_370c6d8af01a4bf4b08d22ee380f081f" comment="column7" localSheetId="0">'🏠 Inicio'!$G$1:$G$1</definedName>
    <definedName name="glide_37b34dd6eaaa4e2d992ae90223aee6d4" comment="column14" localSheetId="2">Dashboard!$N$1:$N$1</definedName>
    <definedName name="glide_382daa53b6944eb6a3c9e22f1456a5a7" comment="🧭 MENÚ DE NAVEGACIÓN" localSheetId="0">'🏠 Inicio'!$B$1:$B$1</definedName>
    <definedName name="glide_38348d16d5f14f9396f73dc13de00ac4" comment="column11" localSheetId="2">Dashboard!$K$1:$K$1</definedName>
    <definedName name="glide_384bc553e6a8433eb88f7a1c0654b896" comment="📊 Gráficos" localSheetId="3">'Graficos Dashboard'!$F$1:$F$1</definedName>
    <definedName name="glide_38b2c909574a459a97039b08383d59ae" comment="🧩 HHI Real" localSheetId="5">HHIReal!$G$1:$G$1</definedName>
    <definedName name="glide_3a1ae7a260d84942952fb0a21611e47a" comment="column11" localSheetId="1">Portafolio!$K$1:$K$1</definedName>
    <definedName name="glide_3a28c9b3045b42b89144a278b631363c" comment="column15" localSheetId="4">'Base de Datos'!$O$1:$O$1</definedName>
    <definedName name="glide_3dfc6e0b4f29466688e03fe8d018865c" comment="📉 Historial" localSheetId="4">'Base de Datos'!$D$1:$D$1</definedName>
    <definedName name="glide_3e14c0e826784b9db9e06f71993de942" comment="🔒 Row ID" localSheetId="0">'🏠 Inicio'!$N$4:$N$4</definedName>
    <definedName name="glide_3fc1fb93f0ab4fcdb24cea446f2fb020" comment="🔒 Row ID" localSheetId="6">Historial!$K$1:$K$1</definedName>
    <definedName name="glide_468148c8647c485ca30a7e9ffc29d6ca" comment="column16" localSheetId="1">Portafolio!$P$1:$P$1</definedName>
    <definedName name="glide_4c564737653d428d80b3a13e09153a3c" comment="column19" localSheetId="2">Dashboard!$S$1:$S$1</definedName>
    <definedName name="glide_4e1adca4e3f94768961c858b07ee30d7" comment="column10" localSheetId="1">Portafolio!$J$1:$J$1</definedName>
    <definedName name="glide_506c839151364b2797af6ed9e202dc27" comment="📊 Gráficos" localSheetId="1">Portafolio!$F$1:$F$1</definedName>
    <definedName name="glide_55124b9244f6452d81ed33c9cbc3286e" comment="column11" localSheetId="0">'🏠 Inicio'!$K$1:$K$1</definedName>
    <definedName name="glide_578521ddf58843099ed4a20ff822111d" comment="📊 Gráficos" localSheetId="5">HHIReal!$F$1:$F$1</definedName>
    <definedName name="glide_57d3329ed8e04c8082dd863bd3b95c79" comment="column19" localSheetId="5">HHIReal!$S$1:$S$1</definedName>
    <definedName name="glide_5900d1f464944b0cb092e9096baa275a" comment="column11" localSheetId="3">'Graficos Dashboard'!$K$1:$K$1</definedName>
    <definedName name="glide_5907b4e0c2014f4ebab0585e74eb7298" comment="🧩 HHI Real" localSheetId="3">'Graficos Dashboard'!$G$1:$G$1</definedName>
    <definedName name="glide_59ba3abd62d5493d93390dfa543f6b58" comment="📉 Historial" localSheetId="3">'Graficos Dashboard'!$D$1:$D$1</definedName>
    <definedName name="glide_5abd9434d47e49ca9be180b513453843" comment="🏠 Inicio" localSheetId="6">Historial!$A$1:$A$1</definedName>
    <definedName name="glide_5f55ae7b0efa478ea46df8d763a809c3" comment="📊 Gráficos" localSheetId="6">Historial!$F$1:$F$1</definedName>
    <definedName name="glide_649b66d594624ed3ba02a8f2c3a20c72" comment="column9" localSheetId="0">'🏠 Inicio'!$I$1:$I$1</definedName>
    <definedName name="glide_656bed9fac894c3985450391793ffa84" comment="🏠 Inicio" localSheetId="2">Dashboard!$A$1:$A$1</definedName>
    <definedName name="glide_685fcd1678c54bf5986f7fdd23ed24a7" comment="🏠 Inicio" localSheetId="4">'Base de Datos'!$A$1:$A$1</definedName>
    <definedName name="glide_6bbab217809e4e4b96c23530eab28b8a" comment="column1" localSheetId="0">'🏠 Inicio'!$A$1:$A$1</definedName>
    <definedName name="glide_6ce04cd261c5413aa1abf0d2af28ca38" comment="column15" localSheetId="2">Dashboard!$O$1:$O$1</definedName>
    <definedName name="glide_6d8ee19ca732401a94534d3472a93c58" comment="🔒 Row ID" localSheetId="6">Historial!$K$1:$K$1</definedName>
    <definedName name="glide_6dc1f2a27e8f4f3c9cf6793a9a5ff036" comment="🏠 Inicio" localSheetId="5">HHIReal!$A$1:$A$1</definedName>
    <definedName name="glide_6e2159048e7544eba59eef80e958a2aa" comment="📊 Gráficos" localSheetId="4">'Base de Datos'!$F$1:$F$1</definedName>
    <definedName name="glide_6e97421924564292ac6b6b30f3276748" comment="column9" localSheetId="5">HHIReal!$I$1:$I$1</definedName>
    <definedName name="glide_6ed9895e784e42cb9e71532ac523b8a2" comment="🏠 Inicio" localSheetId="1">Portafolio!$A$1:$A$1</definedName>
    <definedName name="glide_6ef9b66348ba4b6fa58d35839f1dc485" comment="📊 Dashboard" localSheetId="6">Historial!$C$1:$C$1</definedName>
    <definedName name="glide_73469a1bec0242f28c6c97c226fed98d" comment="column4" localSheetId="0">'🏠 Inicio'!$D$1:$D$1</definedName>
    <definedName name="glide_752702ba13734190b2bc76894007f60d" comment="column20" localSheetId="2">Dashboard!$T$1:$T$1</definedName>
    <definedName name="glide_7584d7c7c81448f5a9736cac5772e03d" comment="column15" localSheetId="5">HHIReal!$O$1:$O$1</definedName>
    <definedName name="glide_76b133f91ddc4f50b70768f7f2463f5d" comment="column20" localSheetId="4">'Base de Datos'!$T$1:$T$1</definedName>
    <definedName name="glide_7a875eaf3f2942efa7766f3a990b6594" comment="🔒 Row ID" localSheetId="4">'Base de Datos'!$Z$1:$Z$1</definedName>
    <definedName name="glide_7af54b2d7ee7408aa1480a8d038d54b7" comment="🧩 HHI Real" localSheetId="1">Portafolio!$G$1:$G$1</definedName>
    <definedName name="glide_7cc935e341c04b6db5d6cb953286838c" comment="column8" localSheetId="0">'🏠 Inicio'!$H$1:$H$1</definedName>
    <definedName name="glide_800f6136ac61426b83b5224a7ee4c40c" comment="📊 Dashboard" localSheetId="5">HHIReal!$C$1:$C$1</definedName>
    <definedName name="glide_804844e4685049188d6cab024ce91354" comment="column3" localSheetId="0">'🏠 Inicio'!$C$1:$C$1</definedName>
    <definedName name="glide_8088c1e2b329456e91ed4913f4b8d321" comment="column9" localSheetId="1">Portafolio!$I$1:$I$1</definedName>
    <definedName name="glide_81f7217248cd458d8584a07391180f7b" comment="column8" localSheetId="2">Dashboard!$H$1:$H$1</definedName>
    <definedName name="glide_82e405736c7c441d96b5ec97b02edad2" comment="📊 Dashboard" localSheetId="3">'Graficos Dashboard'!$C$1:$C$1</definedName>
    <definedName name="glide_847a35f22b22426da1c89c60a7a2b3ef" comment="column23" localSheetId="4">'Base de Datos'!$W$1:$W$1</definedName>
    <definedName name="glide_847eed93e0ba4a04b1e5104ce2feb34a" comment="column9" localSheetId="6">Historial!$I$1:$I$1</definedName>
    <definedName name="glide_88d72cec5b8d405f9a57191757b11a60" comment="📊 Dashboard" localSheetId="2">Dashboard!$C$1:$C$1</definedName>
    <definedName name="glide_8b0eaa9a0c6f488aaf44d17e15fdb701" comment="column21" localSheetId="4">'Base de Datos'!$U$1:$U$1</definedName>
    <definedName name="glide_8bbe06f9b32a4e3b80bfc55d5cee27cc" comment="column17" localSheetId="2">Dashboard!$Q$1:$Q$1</definedName>
    <definedName name="glide_8d3c853b09ca4b8c846779f91a718f87" comment="column10" localSheetId="0">'🏠 Inicio'!$J$1:$J$1</definedName>
    <definedName name="glide_8d968a9adcd84b0ca05686340b04fc93" comment="column16" localSheetId="4">'Base de Datos'!$P$1:$P$1</definedName>
    <definedName name="glide_8daf2d645ce74de88de0cb9259bbe090" comment="column26" localSheetId="5">HHIReal!$Z$1:$Z$1</definedName>
    <definedName name="glide_8e25b5d090584e66b53a6d5be519f658" comment="📈 Portafolio" localSheetId="1">Portafolio!$B$1:$B$1</definedName>
    <definedName name="glide_932b7dacdc0a4599ab747697e35d6e9b" comment="column24" localSheetId="5">HHIReal!$X$1:$X$1</definedName>
    <definedName name="glide_9333f4c3e022413a996fe2767a1534f6" comment="column10" localSheetId="4">'Base de Datos'!$J$1:$J$1</definedName>
    <definedName name="glide_95cd7651a1c345a8a458d1a13f9fbe83" comment="column25" localSheetId="5">HHIReal!$Y$1:$Y$1</definedName>
    <definedName name="glide_96a8a9db943f464ca2c0b1316d99acf4" comment="column16" localSheetId="2">Dashboard!$P$1:$P$1</definedName>
    <definedName name="glide_9948d23385af40eda3ea676b3f8eb0d4" comment="column27" localSheetId="5">HHIReal!$AA$1:$AA$1</definedName>
    <definedName name="glide_9a68e88cd03e450db3b5b6380688ca08" comment="column8" localSheetId="1">Portafolio!$H$1:$H$1</definedName>
    <definedName name="glide_9ba53bc58a31479e94c3faeb02fa7c99" comment="📊 Gráficos" localSheetId="2">Dashboard!$F$1:$F$1</definedName>
    <definedName name="glide_9d98ab993da54065b77e77e0aca14ecc" comment="📊 Dashboard" localSheetId="1">Portafolio!$C$1:$C$1</definedName>
    <definedName name="glide_9e31718fd05845d8b12d365969d32cac" comment="column18" localSheetId="5">HHIReal!$R$1:$R$1</definedName>
    <definedName name="glide_9eee3185109e4330a673491b5311e48d" comment="column5" localSheetId="0">'🏠 Inicio'!$E$1:$E$1</definedName>
    <definedName name="glide_9f448af118294af6b985bd4cb2877ee8" comment="column13" localSheetId="0">'🏠 Inicio'!$M$1:$M$1</definedName>
    <definedName name="glide_9f639218b1b841c0a5613ad2d5a4be00" comment="📊 Dashboard" localSheetId="4">'Base de Datos'!$C$1:$C$1</definedName>
    <definedName name="glide_9f9f4751f1c0410d946310a581176062" comment="column13" localSheetId="2">Dashboard!$M$1:$M$1</definedName>
    <definedName name="glide_a3693e2db2d3491c8fcca57409965c75" comment="🗃️ Base de Datos" localSheetId="3">'Graficos Dashboard'!$E$1:$E$1</definedName>
    <definedName name="glide_a517ead51ebe428faae2c8e40196b6a8" comment="🔒 Row ID" localSheetId="5">HHIReal!$AB$1:$AB$1</definedName>
    <definedName name="glide_a7257ce8992f4fbbab2193ba9c298700" comment="column22" localSheetId="4">'Base de Datos'!$V$1:$V$1</definedName>
    <definedName name="glide_ac6b1df9853e4713b08520fe20261f29" comment="🔒 Row ID" localSheetId="4">'Base de Datos'!$Z$1:$Z$1</definedName>
    <definedName name="glide_ae788659e84b402a896c7e0a6665d65e" comment="column18" localSheetId="2">Dashboard!$R$1:$R$1</definedName>
    <definedName name="glide_af99dcdd182844ce9471ee89ba004df5" comment="🗃️ Base de Datos" localSheetId="6">Historial!$E$1:$E$1</definedName>
    <definedName name="glide_afd7159141ef4b70a30e9173a5cca2df" comment="column15" localSheetId="1">Portafolio!$O$1:$O$1</definedName>
    <definedName name="glide_b22ddb0cc29b4353a97336d611c8fa85" comment="column8" localSheetId="3">'Graficos Dashboard'!$H$1:$H$1</definedName>
    <definedName name="glide_b29cec23464f4b339ccc227ae7e5ed84" comment="column8" localSheetId="5">HHIReal!$H$1:$H$1</definedName>
    <definedName name="glide_b649d684a041465cb9fe7ce582cde406" comment="🗃️ Base de Datos" localSheetId="2">Dashboard!$E$1:$E$1</definedName>
    <definedName name="glide_bc6c3a3a1d5e43829602ffb53bb5bd42" comment="🧩 HHI Real" localSheetId="6">Historial!$G$1:$G$1</definedName>
    <definedName name="glide_bd52d1589b1d43eb9e00b6acf4b92260" comment="🧩 HHI Real" localSheetId="4">'Base de Datos'!$G$1:$G$1</definedName>
    <definedName name="glide_bd8b208eb6294d57af1fe49d8105b717" comment="column18" localSheetId="4">'Base de Datos'!$R$1:$R$1</definedName>
    <definedName name="glide_c1c609c9570742b1abcd70657b85d616" comment="column12" localSheetId="2">Dashboard!$L$1:$L$1</definedName>
    <definedName name="glide_c378185df43d4bcbb131e3ac90d5fa5a" comment="column14" localSheetId="3">'Graficos Dashboard'!$N$1:$N$1</definedName>
    <definedName name="glide_c51e0d5b13e24a0e9e99d95b98ac2bca" comment="column13" localSheetId="4">'Base de Datos'!$M$1:$M$1</definedName>
    <definedName name="glide_cb87f7b0f3be40a588ea41f5ead9e73e" comment="📉 Historial" localSheetId="2">Dashboard!$D$1:$D$1</definedName>
    <definedName name="glide_cb9bd452db4e42a3a3b91b59865c3f5b" comment="column10" localSheetId="2">Dashboard!$J$1:$J$1</definedName>
    <definedName name="glide_cfdaf08fb33840dc9400024bd977aa2c" comment="column12" localSheetId="4">'Base de Datos'!$L$1:$L$1</definedName>
    <definedName name="glide_d2bc4e3be32f48689d57ccc4324820ee" comment="column11" localSheetId="4">'Base de Datos'!$K$1:$K$1</definedName>
    <definedName name="glide_dd9fadd0f4db4579a48f7c5d3c86ffc2" comment="column9" localSheetId="3">'Graficos Dashboard'!$I$1:$I$1</definedName>
    <definedName name="glide_df22fb7ce66b4930b387a190feed22be" comment="🧩 HHI Real" localSheetId="2">Dashboard!$G$1:$G$1</definedName>
    <definedName name="glide_df34e14020fc4a60a0c7d7005bcfed01" comment="🗃️ Base de Datos" localSheetId="4">'Base de Datos'!$E$1:$E$1</definedName>
    <definedName name="glide_df46ddf6afce4bcba2be0f79f8996d88" comment="column14" localSheetId="4">'Base de Datos'!$N$1:$N$1</definedName>
    <definedName name="glide_dfd0e5ec954941a4bd855031722839fb" comment="🗃️ Base de Datos" localSheetId="5">HHIReal!$E$1:$E$1</definedName>
    <definedName name="glide_e3d026ec135b4ce0b792f6568ad34a12" comment="column9" localSheetId="2">Dashboard!$I$1:$I$1</definedName>
    <definedName name="glide_e4b156b7a0e14ffeaebdf204e1475224" comment="🗃️ Base de Datos" localSheetId="1">Portafolio!$E$1:$E$1</definedName>
    <definedName name="glide_e6a49a63c60b4955aeff47e080dbd36e" comment="column25" localSheetId="4">'Base de Datos'!$Y$1:$Y$1</definedName>
    <definedName name="glide_e81811fb61c748dba802dc146fdd21df" comment="column12" localSheetId="0">'🏠 Inicio'!$L$1:$L$1</definedName>
    <definedName name="glide_e95a1023731949709c6ce1b2c2efe7dd" comment="💰 COMPOSICIÓN DEL PORTAFOLIO" localSheetId="0">'🏠 Inicio'!$F$1:$F$1</definedName>
    <definedName name="glide_ea27b12b5f0e494287c13769fe5d4642" comment="column17" localSheetId="4">'Base de Datos'!$Q$1:$Q$1</definedName>
    <definedName name="glide_eab36ec159d54cd08bad412ad4c888a5" comment="column9" localSheetId="4">'Base de Datos'!$I$1:$I$1</definedName>
    <definedName name="glide_ed56f54b4a494753a00caabac1fd8a8b" comment="column17" localSheetId="5">HHIReal!$Q$1:$Q$1</definedName>
    <definedName name="glide_f2f5a040b2ff414790d4fda1ecef7c26" comment="📈 Portafolio" localSheetId="6">Historial!$B$1:$B$1</definedName>
    <definedName name="glide_f40e29b1715e4b6496ef3f3d0946004a" comment="column19" localSheetId="4">'Base de Datos'!$S$1:$S$1</definedName>
    <definedName name="glide_f5fa1dadf68b43a69f8345ed2d400081" comment="📈 Portafolio" localSheetId="3">'Graficos Dashboard'!$B$1:$B$1</definedName>
    <definedName name="glide_f747e701e2b145058e46774f2d0671dd" comment="column21" localSheetId="5">HHIReal!$U$1:$U$1</definedName>
    <definedName name="glide_fc77ea6780544db686e33e150f5b5ad9" comment="📈 Portafolio" localSheetId="2">Dashboard!$B$1:$B$1</definedName>
    <definedName name="glide_fe6716786111411da271e96b4baef1af" comment="🏠 Inicio" localSheetId="3">'Graficos Dashboard'!$A$1:$A$1</definedName>
    <definedName name="glide_feb5868409d24e7fb895ea55ab626a02" comment="column12" localSheetId="3">'Graficos Dashboard'!$L$1:$L$1</definedName>
    <definedName name="glide_ffa77e7fb0b54b0a851eed48aa6ef537" comment="📈 Portafolio" localSheetId="5">HHIReal!$B$1:$B$1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 a="1"/>
  <c r="B7" i="2" a="1"/>
  <c r="B8" i="2" a="1"/>
  <c r="A35" i="2"/>
  <c r="A36" i="2"/>
  <c r="A37" i="2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B18" i="2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5" i="3"/>
  <c r="B41" i="10"/>
  <c r="Q4" i="7"/>
  <c r="Q24" i="3"/>
  <c r="L15" i="3"/>
  <c r="K5" i="3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A7" i="12"/>
  <c r="T10" i="3"/>
  <c r="T9" i="3"/>
  <c r="T8" i="3"/>
  <c r="T7" i="3"/>
  <c r="T6" i="3"/>
  <c r="T5" i="3"/>
  <c r="R6" i="9" a="1"/>
  <c r="R7" i="9" a="1"/>
  <c r="R8" i="9" a="1"/>
  <c r="R9" i="9" a="1"/>
  <c r="R10" i="9" a="1"/>
  <c r="R5" i="9" a="1"/>
  <c r="Q10" i="9" a="1"/>
  <c r="Q9" i="9" a="1"/>
  <c r="Q8" i="9" a="1"/>
  <c r="Q7" i="9" a="1"/>
  <c r="Q6" i="9" a="1"/>
  <c r="Q5" i="9" a="1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6" i="9"/>
  <c r="N6" i="2"/>
  <c r="P6" i="2"/>
  <c r="N7" i="2"/>
  <c r="P7" i="2"/>
  <c r="N8" i="2"/>
  <c r="P8" i="2"/>
  <c r="I26" i="9"/>
  <c r="I25" i="9"/>
  <c r="I24" i="9"/>
  <c r="D304" i="7"/>
  <c r="D772" i="7"/>
  <c r="D582" i="7"/>
  <c r="D391" i="7"/>
  <c r="D677" i="7"/>
  <c r="D420" i="7"/>
  <c r="D148" i="7"/>
  <c r="D372" i="7"/>
  <c r="D592" i="7"/>
  <c r="D791" i="7"/>
  <c r="D417" i="7"/>
  <c r="D456" i="7"/>
  <c r="D154" i="7"/>
  <c r="D658" i="7"/>
  <c r="D261" i="7"/>
  <c r="D458" i="7"/>
  <c r="D285" i="7"/>
  <c r="D723" i="7"/>
  <c r="D450" i="7"/>
  <c r="D324" i="7"/>
  <c r="D437" i="7"/>
  <c r="D53" i="7"/>
  <c r="D338" i="7"/>
  <c r="D645" i="7"/>
  <c r="D410" i="7"/>
  <c r="D434" i="7"/>
  <c r="D498" i="7"/>
  <c r="D280" i="7"/>
  <c r="D103" i="7"/>
  <c r="D398" i="7"/>
  <c r="D119" i="7"/>
  <c r="D612" i="7"/>
  <c r="D798" i="7"/>
  <c r="D392" i="7"/>
  <c r="D806" i="7"/>
  <c r="D441" i="7"/>
  <c r="D397" i="7"/>
  <c r="D237" i="7"/>
  <c r="D656" i="7"/>
  <c r="D121" i="7"/>
  <c r="D436" i="7"/>
  <c r="D734" i="7"/>
  <c r="D349" i="7"/>
  <c r="D541" i="7"/>
  <c r="D390" i="7"/>
  <c r="D720" i="7"/>
  <c r="D343" i="7"/>
  <c r="D421" i="7"/>
  <c r="D457" i="7"/>
  <c r="D637" i="7"/>
  <c r="D464" i="7"/>
  <c r="D95" i="7"/>
  <c r="D520" i="7"/>
  <c r="D262" i="7"/>
  <c r="D348" i="7"/>
  <c r="D375" i="7"/>
  <c r="D467" i="7"/>
  <c r="D238" i="7"/>
  <c r="D202" i="7"/>
  <c r="D225" i="7"/>
  <c r="D318" i="7"/>
  <c r="D365" i="7"/>
  <c r="D69" i="7"/>
  <c r="D144" i="7"/>
  <c r="D716" i="7"/>
  <c r="D632" i="7"/>
  <c r="D455" i="7"/>
  <c r="D736" i="7"/>
  <c r="D333" i="7"/>
  <c r="D623" i="7"/>
  <c r="D409" i="7"/>
  <c r="D358" i="7"/>
  <c r="D408" i="7"/>
  <c r="D155" i="7"/>
  <c r="D704" i="7"/>
  <c r="D85" i="7"/>
  <c r="D339" i="7"/>
  <c r="D807" i="7"/>
  <c r="D42" i="7"/>
  <c r="D680" i="7"/>
  <c r="D598" i="7"/>
  <c r="D599" i="7"/>
  <c r="D180" i="7"/>
  <c r="D77" i="7"/>
  <c r="D483" i="7"/>
  <c r="D329" i="7"/>
  <c r="D740" i="7"/>
  <c r="D49" i="7"/>
  <c r="D162" i="7"/>
  <c r="D665" i="7"/>
  <c r="D47" i="7"/>
  <c r="D191" i="7"/>
  <c r="D643" i="7"/>
  <c r="D99" i="7"/>
  <c r="D652" i="7"/>
  <c r="D601" i="7"/>
  <c r="D36" i="7"/>
  <c r="D682" i="7"/>
  <c r="D413" i="7"/>
  <c r="D406" i="7"/>
  <c r="D543" i="7"/>
  <c r="D101" i="7"/>
  <c r="D741" i="7"/>
  <c r="D243" i="7"/>
  <c r="D727" i="7"/>
  <c r="D97" i="7"/>
  <c r="D319" i="7"/>
  <c r="D125" i="7"/>
  <c r="D317" i="7"/>
  <c r="D799" i="7"/>
  <c r="D113" i="7"/>
  <c r="D195" i="7"/>
  <c r="D301" i="7"/>
  <c r="D78" i="7"/>
  <c r="D518" i="7"/>
  <c r="D491" i="7"/>
  <c r="D482" i="7"/>
  <c r="D693" i="7"/>
  <c r="D687" i="7"/>
  <c r="D374" i="7"/>
  <c r="D128" i="7"/>
  <c r="D250" i="7"/>
  <c r="D279" i="7"/>
  <c r="D67" i="7"/>
  <c r="D373" i="7"/>
  <c r="D603" i="7"/>
  <c r="D277" i="7"/>
  <c r="D271" i="7"/>
  <c r="D102" i="7"/>
  <c r="D187" i="7"/>
  <c r="D542" i="7"/>
  <c r="D608" i="7"/>
  <c r="D731" i="7"/>
  <c r="D617" i="7"/>
  <c r="D744" i="7"/>
  <c r="D430" i="7"/>
  <c r="D212" i="7"/>
  <c r="D495" i="7"/>
  <c r="D181" i="7"/>
  <c r="D773" i="7"/>
  <c r="D577" i="7"/>
  <c r="D584" i="7"/>
  <c r="D57" i="7"/>
  <c r="D361" i="7"/>
  <c r="D489" i="7"/>
  <c r="D20" i="7"/>
  <c r="D116" i="7"/>
  <c r="D448" i="7"/>
  <c r="D23" i="7"/>
  <c r="D123" i="7"/>
  <c r="D163" i="7"/>
  <c r="D30" i="7"/>
  <c r="D653" i="7"/>
  <c r="D269" i="7"/>
  <c r="D748" i="7"/>
  <c r="D549" i="7"/>
  <c r="D293" i="7"/>
  <c r="D699" i="7"/>
  <c r="D251" i="7"/>
  <c r="D296" i="7"/>
  <c r="D310" i="7"/>
  <c r="D28" i="7"/>
  <c r="D426" i="7"/>
  <c r="D569" i="7"/>
  <c r="D376" i="7"/>
  <c r="D79" i="7"/>
  <c r="D158" i="7"/>
  <c r="D626" i="7"/>
  <c r="D244" i="7"/>
  <c r="D717" i="7"/>
  <c r="D581" i="7"/>
  <c r="D657" i="7"/>
  <c r="D337" i="7"/>
  <c r="D118" i="7"/>
  <c r="D287" i="7"/>
  <c r="D793" i="7"/>
  <c r="D68" i="7"/>
  <c r="D316" i="7"/>
  <c r="D98" i="7"/>
  <c r="D232" i="7"/>
  <c r="D681" i="7"/>
  <c r="D37" i="7"/>
  <c r="D557" i="7"/>
  <c r="D94" i="7"/>
  <c r="D179" i="7"/>
  <c r="D51" i="7"/>
  <c r="D545" i="7"/>
  <c r="D276" i="7"/>
  <c r="D514" i="7"/>
  <c r="D564" i="7"/>
  <c r="D506" i="7"/>
  <c r="D461" i="7"/>
  <c r="D468" i="7"/>
  <c r="D511" i="7"/>
  <c r="D305" i="7"/>
  <c r="D419" i="7"/>
  <c r="D565" i="7"/>
  <c r="D797" i="7"/>
  <c r="D70" i="7"/>
  <c r="D208" i="7"/>
  <c r="D629" i="7"/>
  <c r="D515" i="7"/>
  <c r="D96" i="7"/>
  <c r="D352" i="7"/>
  <c r="D173" i="7"/>
  <c r="D548" i="7"/>
  <c r="D516" i="7"/>
  <c r="D150" i="7"/>
  <c r="D40" i="7"/>
  <c r="D671" i="7"/>
  <c r="D399" i="7"/>
  <c r="D326" i="7"/>
  <c r="D314" i="7"/>
  <c r="D106" i="7"/>
  <c r="D445" i="7"/>
  <c r="D669" i="7"/>
  <c r="D215" i="7"/>
  <c r="D784" i="7"/>
  <c r="D533" i="7"/>
  <c r="D579" i="7"/>
  <c r="D169" i="7"/>
  <c r="D188" i="7"/>
  <c r="D767" i="7"/>
  <c r="D356" i="7"/>
  <c r="D701" i="7"/>
  <c r="D560" i="7"/>
  <c r="D383" i="7"/>
  <c r="D753" i="7"/>
  <c r="D138" i="7"/>
  <c r="D60" i="7"/>
  <c r="D562" i="7"/>
  <c r="D257" i="7"/>
  <c r="D282" i="7"/>
  <c r="D538" i="7"/>
  <c r="D15" i="7"/>
  <c r="D503" i="7"/>
  <c r="D62" i="7"/>
  <c r="D346" i="7"/>
  <c r="D83" i="7"/>
  <c r="D344" i="7"/>
  <c r="D721" i="7"/>
  <c r="D480" i="7"/>
  <c r="D446" i="7"/>
  <c r="D54" i="7"/>
  <c r="D754" i="7"/>
  <c r="D184" i="7"/>
  <c r="D462" i="7"/>
  <c r="D524" i="7"/>
  <c r="D745" i="7"/>
  <c r="D330" i="7"/>
  <c r="D594" i="7"/>
  <c r="D334" i="7"/>
  <c r="D424" i="7"/>
  <c r="D442" i="7"/>
  <c r="D566" i="7"/>
  <c r="D233" i="7"/>
  <c r="D706" i="7"/>
  <c r="D114" i="7"/>
  <c r="D196" i="7"/>
  <c r="D738" i="7"/>
  <c r="D64" i="7"/>
  <c r="D404" i="7"/>
  <c r="D199" i="7"/>
  <c r="D765" i="7"/>
  <c r="D75" i="7"/>
  <c r="D107" i="7"/>
  <c r="D667" i="7"/>
  <c r="D613" i="7"/>
  <c r="D586" i="7"/>
  <c r="D768" i="7"/>
  <c r="D588" i="7"/>
  <c r="D724" i="7"/>
  <c r="D272" i="7"/>
  <c r="D395" i="7"/>
  <c r="D230" i="7"/>
  <c r="D661" i="7"/>
  <c r="D25" i="7"/>
  <c r="D142" i="7"/>
  <c r="D529" i="7"/>
  <c r="D471" i="7"/>
  <c r="D708" i="7"/>
  <c r="D145" i="7"/>
  <c r="D493" i="7"/>
  <c r="D465" i="7"/>
  <c r="D322" i="7"/>
  <c r="D175" i="7"/>
  <c r="D558" i="7"/>
  <c r="D366" i="7"/>
  <c r="D312" i="7"/>
  <c r="D624" i="7"/>
  <c r="D650" i="7"/>
  <c r="D609" i="7"/>
  <c r="D422" i="7"/>
  <c r="D221" i="7"/>
  <c r="D473" i="7"/>
  <c r="D688" i="7"/>
  <c r="D109" i="7"/>
  <c r="D369" i="7"/>
  <c r="D523" i="7"/>
  <c r="D73" i="7"/>
  <c r="D631" i="7"/>
  <c r="D750" i="7"/>
  <c r="D694" i="7"/>
  <c r="D507" i="7"/>
  <c r="D714" i="7"/>
  <c r="D218" i="7"/>
  <c r="D18" i="7"/>
  <c r="D354" i="7"/>
  <c r="D90" i="7"/>
  <c r="D660" i="7"/>
  <c r="D32" i="7"/>
  <c r="D209" i="7"/>
  <c r="D177" i="7"/>
  <c r="D388" i="7"/>
  <c r="D501" i="7"/>
  <c r="D728" i="7"/>
  <c r="D266" i="7"/>
  <c r="D384" i="7"/>
  <c r="D803" i="7"/>
  <c r="D50" i="7"/>
  <c r="D761" i="7"/>
  <c r="D380" i="7"/>
  <c r="D485" i="7"/>
  <c r="D638" i="7"/>
  <c r="D131" i="7"/>
  <c r="D776" i="7"/>
  <c r="D140" i="7"/>
  <c r="D87" i="7"/>
  <c r="D45" i="7"/>
  <c r="D690" i="7"/>
  <c r="D363" i="7"/>
  <c r="D193" i="7"/>
  <c r="D633" i="7"/>
  <c r="D400" i="7"/>
  <c r="D214" i="7"/>
  <c r="D535" i="7"/>
  <c r="D459" i="7"/>
  <c r="D321" i="7"/>
  <c r="D512" i="7"/>
  <c r="D808" i="7"/>
  <c r="D306" i="7"/>
  <c r="D779" i="7"/>
  <c r="D475" i="7"/>
  <c r="D393" i="7"/>
  <c r="D756" i="7"/>
  <c r="D452" i="7"/>
  <c r="D484" i="7"/>
  <c r="D711" i="7"/>
  <c r="D189" i="7"/>
  <c r="D325" i="7"/>
  <c r="D742" i="7"/>
  <c r="D253" i="7"/>
  <c r="D794" i="7"/>
  <c r="D646" i="7"/>
  <c r="D198" i="7"/>
  <c r="D509" i="7"/>
  <c r="D664" i="7"/>
  <c r="D622" i="7"/>
  <c r="D39" i="7"/>
  <c r="D676" i="7"/>
  <c r="D298" i="7"/>
  <c r="D619" i="7"/>
  <c r="D260" i="7"/>
  <c r="D497" i="7"/>
  <c r="D655" i="7"/>
  <c r="D440" i="7"/>
  <c r="D611" i="7"/>
  <c r="D315" i="7"/>
  <c r="D342" i="7"/>
  <c r="D705" i="7"/>
  <c r="D809" i="7"/>
  <c r="D517" i="7"/>
  <c r="D161" i="7"/>
  <c r="D540" i="7"/>
  <c r="D583" i="7"/>
  <c r="D203" i="7"/>
  <c r="D678" i="7"/>
  <c r="D552" i="7"/>
  <c r="D692" i="7"/>
  <c r="D224" i="7"/>
  <c r="D635" i="7"/>
  <c r="D703" i="7"/>
  <c r="D454" i="7"/>
  <c r="D730" i="7"/>
  <c r="D735" i="7"/>
  <c r="D576" i="7"/>
  <c r="D235" i="7"/>
  <c r="D644" i="7"/>
  <c r="D733" i="7"/>
  <c r="D328" i="7"/>
  <c r="D111" i="7"/>
  <c r="D591" i="7"/>
  <c r="D246" i="7"/>
  <c r="D127" i="7"/>
  <c r="D710" i="7"/>
  <c r="D353" i="7"/>
  <c r="D600" i="7"/>
  <c r="D789" i="7"/>
  <c r="D620" i="7"/>
  <c r="D379" i="7"/>
  <c r="D242" i="7"/>
  <c r="D478" i="7"/>
  <c r="D239" i="7"/>
  <c r="D171" i="7"/>
  <c r="D726" i="7"/>
  <c r="D14" i="7"/>
  <c r="D551" i="7"/>
  <c r="D112" i="7"/>
  <c r="D134" i="7"/>
  <c r="D300" i="7"/>
  <c r="D192" i="7"/>
  <c r="D429" i="7"/>
  <c r="D568" i="7"/>
  <c r="D602" i="7"/>
  <c r="D152" i="7"/>
  <c r="D573" i="7"/>
  <c r="D153" i="7"/>
  <c r="D628" i="7"/>
  <c r="D281" i="7"/>
  <c r="D696" i="7"/>
  <c r="D147" i="7"/>
  <c r="D435" i="7"/>
  <c r="D574" i="7"/>
  <c r="D249" i="7"/>
  <c r="D553" i="7"/>
  <c r="D786" i="7"/>
  <c r="D8" i="2"/>
  <c r="D7" i="2"/>
  <c r="D6" i="2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D539" i="7"/>
  <c r="D16" i="7"/>
  <c r="D504" i="7"/>
  <c r="D63" i="7"/>
  <c r="D347" i="7"/>
  <c r="D84" i="7"/>
  <c r="D345" i="7"/>
  <c r="D481" i="7"/>
  <c r="D722" i="7"/>
  <c r="D513" i="7"/>
  <c r="D120" i="7"/>
  <c r="D415" i="7"/>
  <c r="D447" i="7"/>
  <c r="D55" i="7"/>
  <c r="D801" i="7"/>
  <c r="D790" i="7"/>
  <c r="D394" i="7"/>
  <c r="D414" i="7"/>
  <c r="D755" i="7"/>
  <c r="D185" i="7"/>
  <c r="D133" i="7"/>
  <c r="D201" i="7"/>
  <c r="D463" i="7"/>
  <c r="D525" i="7"/>
  <c r="D453" i="7"/>
  <c r="D17" i="7"/>
  <c r="D746" i="7"/>
  <c r="D213" i="7"/>
  <c r="D52" i="7"/>
  <c r="D93" i="7"/>
  <c r="D585" i="7"/>
  <c r="D556" i="7"/>
  <c r="D431" i="7"/>
  <c r="D331" i="7"/>
  <c r="D362" i="7"/>
  <c r="D595" i="7"/>
  <c r="D596" i="7"/>
  <c r="D351" i="7"/>
  <c r="D335" i="7"/>
  <c r="D496" i="7"/>
  <c r="D732" i="7"/>
  <c r="D425" i="7"/>
  <c r="D443" i="7"/>
  <c r="D642" i="7"/>
  <c r="D500" i="7"/>
  <c r="D618" i="7"/>
  <c r="D785" i="7"/>
  <c r="D126" i="7"/>
  <c r="D659" i="7"/>
  <c r="D27" i="7"/>
  <c r="D578" i="7"/>
  <c r="D386" i="7"/>
  <c r="D774" i="7"/>
  <c r="D521" i="7"/>
  <c r="D469" i="7"/>
  <c r="D92" i="7"/>
  <c r="D234" i="7"/>
  <c r="D567" i="7"/>
  <c r="D58" i="7"/>
  <c r="D675" i="7"/>
  <c r="D686" i="7"/>
  <c r="D707" i="7"/>
  <c r="D781" i="7"/>
  <c r="D89" i="7"/>
  <c r="D336" i="7"/>
  <c r="D702" i="7"/>
  <c r="D340" i="7"/>
  <c r="D283" i="7"/>
  <c r="D115" i="7"/>
  <c r="D747" i="7"/>
  <c r="D197" i="7"/>
  <c r="D739" i="7"/>
  <c r="D783" i="7"/>
  <c r="D405" i="7"/>
  <c r="D72" i="7"/>
  <c r="D649" i="7"/>
  <c r="D580" i="7"/>
  <c r="D223" i="7"/>
  <c r="D21" i="7"/>
  <c r="D65" i="7"/>
  <c r="D182" i="7"/>
  <c r="D200" i="7"/>
  <c r="D766" i="7"/>
  <c r="D368" i="7"/>
  <c r="D593" i="7"/>
  <c r="D522" i="7"/>
  <c r="D108" i="7"/>
  <c r="D211" i="7"/>
  <c r="D668" i="7"/>
  <c r="D451" i="7"/>
  <c r="D76" i="7"/>
  <c r="D648" i="7"/>
  <c r="D490" i="7"/>
  <c r="D614" i="7"/>
  <c r="D769" i="7"/>
  <c r="D135" i="7"/>
  <c r="D117" i="7"/>
  <c r="D587" i="7"/>
  <c r="D174" i="7"/>
  <c r="D589" i="7"/>
  <c r="D382" i="7"/>
  <c r="D165" i="7"/>
  <c r="D273" i="7"/>
  <c r="D449" i="7"/>
  <c r="D231" i="7"/>
  <c r="D725" i="7"/>
  <c r="D684" i="7"/>
  <c r="D396" i="7"/>
  <c r="D663" i="7"/>
  <c r="D24" i="7"/>
  <c r="D167" i="7"/>
  <c r="D477" i="7"/>
  <c r="D662" i="7"/>
  <c r="D26" i="7"/>
  <c r="D143" i="7"/>
  <c r="D299" i="7"/>
  <c r="D248" i="7"/>
  <c r="D105" i="7"/>
  <c r="D788" i="7"/>
  <c r="D530" i="7"/>
  <c r="D472" i="7"/>
  <c r="D709" i="7"/>
  <c r="D124" i="7"/>
  <c r="D164" i="7"/>
  <c r="D265" i="7"/>
  <c r="D412" i="7"/>
  <c r="D387" i="7"/>
  <c r="D327" i="7"/>
  <c r="D146" i="7"/>
  <c r="D597" i="7"/>
  <c r="D31" i="7"/>
  <c r="D654" i="7"/>
  <c r="D204" i="7"/>
  <c r="D752" i="7"/>
  <c r="D157" i="7"/>
  <c r="D61" i="7"/>
  <c r="D494" i="7"/>
  <c r="D787" i="7"/>
  <c r="D302" i="7"/>
  <c r="D156" i="7"/>
  <c r="D476" i="7"/>
  <c r="D122" i="7"/>
  <c r="D487" i="7"/>
  <c r="D268" i="7"/>
  <c r="D499" i="7"/>
  <c r="D466" i="7"/>
  <c r="D176" i="7"/>
  <c r="D559" i="7"/>
  <c r="D544" i="7"/>
  <c r="D759" i="7"/>
  <c r="D323" i="7"/>
  <c r="D444" i="7"/>
  <c r="D528" i="7"/>
  <c r="D492" i="7"/>
  <c r="D270" i="7"/>
  <c r="D194" i="7"/>
  <c r="D749" i="7"/>
  <c r="D625" i="7"/>
  <c r="D226" i="7"/>
  <c r="D313" i="7"/>
  <c r="D367" i="7"/>
  <c r="D160" i="7"/>
  <c r="D651" i="7"/>
  <c r="D532" i="7"/>
  <c r="D610" i="7"/>
  <c r="D35" i="7"/>
  <c r="D640" i="7"/>
  <c r="D341" i="7"/>
  <c r="D71" i="7"/>
  <c r="D689" i="7"/>
  <c r="D778" i="7"/>
  <c r="D474" i="7"/>
  <c r="D222" i="7"/>
  <c r="D360" i="7"/>
  <c r="D423" i="7"/>
  <c r="D66" i="7"/>
  <c r="D621" i="7"/>
  <c r="D505" i="7"/>
  <c r="D407" i="7"/>
  <c r="D666" i="7"/>
  <c r="D110" i="7"/>
  <c r="D428" i="7"/>
  <c r="D719" i="7"/>
  <c r="D258" i="7"/>
  <c r="D236" i="7"/>
  <c r="D418" i="7"/>
  <c r="D488" i="7"/>
  <c r="D74" i="7"/>
  <c r="D695" i="7"/>
  <c r="D370" i="7"/>
  <c r="D670" i="7"/>
  <c r="D751" i="7"/>
  <c r="D698" i="7"/>
  <c r="D571" i="7"/>
  <c r="D697" i="7"/>
  <c r="D439" i="7"/>
  <c r="D715" i="7"/>
  <c r="D546" i="7"/>
  <c r="D19" i="7"/>
  <c r="D48" i="7"/>
  <c r="D207" i="7"/>
  <c r="D550" i="7"/>
  <c r="D219" i="7"/>
  <c r="D91" i="7"/>
  <c r="D205" i="7"/>
  <c r="D700" i="7"/>
  <c r="D355" i="7"/>
  <c r="D252" i="7"/>
  <c r="D38" i="7"/>
  <c r="D216" i="7"/>
  <c r="D56" i="7"/>
  <c r="D537" i="7"/>
  <c r="D294" i="7"/>
  <c r="D470" i="7"/>
  <c r="D130" i="7"/>
  <c r="D636" i="7"/>
  <c r="D256" i="7"/>
  <c r="D284" i="7"/>
  <c r="D527" i="7"/>
  <c r="D297" i="7"/>
  <c r="D183" i="7"/>
  <c r="D210" i="7"/>
  <c r="D43" i="7"/>
  <c r="D33" i="7"/>
  <c r="D607" i="7"/>
  <c r="D286" i="7"/>
  <c r="D800" i="7"/>
  <c r="D217" i="7"/>
  <c r="D555" i="7"/>
  <c r="D770" i="7"/>
  <c r="D288" i="7"/>
  <c r="D775" i="7"/>
  <c r="D255" i="7"/>
  <c r="D178" i="7"/>
  <c r="D129" i="7"/>
  <c r="D479" i="7"/>
  <c r="D771" i="7"/>
  <c r="D59" i="7"/>
  <c r="D371" i="7"/>
  <c r="D311" i="7"/>
  <c r="D674" i="7"/>
  <c r="D389" i="7"/>
  <c r="D502" i="7"/>
  <c r="D166" i="7"/>
  <c r="D615" i="7"/>
  <c r="D805" i="7"/>
  <c r="D267" i="7"/>
  <c r="D100" i="7"/>
  <c r="D641" i="7"/>
  <c r="D137" i="7"/>
  <c r="D41" i="7"/>
  <c r="D519" i="7"/>
  <c r="D563" i="7"/>
  <c r="D29" i="7"/>
  <c r="D416" i="7"/>
  <c r="D729" i="7"/>
  <c r="D139" i="7"/>
  <c r="D295" i="7"/>
  <c r="D432" i="7"/>
  <c r="D575" i="7"/>
  <c r="D136" i="7"/>
  <c r="D259" i="7"/>
  <c r="D804" i="7"/>
  <c r="D229" i="7"/>
  <c r="D385" i="7"/>
  <c r="D350" i="7"/>
  <c r="D411" i="7"/>
  <c r="D403" i="7"/>
  <c r="D364" i="7"/>
  <c r="D381" i="7"/>
  <c r="D572" i="7"/>
  <c r="D762" i="7"/>
  <c r="D782" i="7"/>
  <c r="D606" i="7"/>
  <c r="D685" i="7"/>
  <c r="D275" i="7"/>
  <c r="D547" i="7"/>
  <c r="D486" i="7"/>
  <c r="D357" i="7"/>
  <c r="D616" i="7"/>
  <c r="D639" i="7"/>
  <c r="D22" i="7"/>
  <c r="D433" i="7"/>
  <c r="D777" i="7"/>
  <c r="D132" i="7"/>
  <c r="D673" i="7"/>
  <c r="D427" i="7"/>
  <c r="D141" i="7"/>
  <c r="D13" i="7"/>
  <c r="D12" i="7"/>
  <c r="D810" i="7"/>
  <c r="D359" i="7"/>
  <c r="D508" i="7"/>
  <c r="D737" i="7"/>
  <c r="D758" i="7"/>
  <c r="D536" i="7"/>
  <c r="D292" i="7"/>
  <c r="D34" i="7"/>
  <c r="D104" i="7"/>
  <c r="D691" i="7"/>
  <c r="D81" i="7"/>
  <c r="D88" i="7"/>
  <c r="D247" i="7"/>
  <c r="D634" i="7"/>
  <c r="D190" i="7"/>
  <c r="D401" i="7"/>
  <c r="D570" i="7"/>
  <c r="D240" i="7"/>
  <c r="D377" i="7"/>
  <c r="D561" i="7"/>
  <c r="D309" i="7"/>
  <c r="D332" i="7"/>
  <c r="D531" i="7"/>
  <c r="D241" i="7"/>
  <c r="D172" i="7"/>
  <c r="D170" i="7"/>
  <c r="D263" i="7"/>
  <c r="D630" i="7"/>
  <c r="D713" i="7"/>
  <c r="D460" i="7"/>
  <c r="D802" i="7"/>
  <c r="D82" i="7"/>
  <c r="D605" i="7"/>
  <c r="D378" i="7"/>
  <c r="D307" i="7"/>
  <c r="D149" i="7"/>
  <c r="D278" i="7"/>
  <c r="D159" i="7"/>
  <c r="D291" i="7"/>
  <c r="D80" i="7"/>
  <c r="D402" i="7"/>
  <c r="D320" i="7"/>
  <c r="D780" i="7"/>
  <c r="D86" i="7"/>
  <c r="D764" i="7"/>
  <c r="D683" i="7"/>
  <c r="D46" i="7"/>
  <c r="D604" i="7"/>
  <c r="D534" i="7"/>
  <c r="D757" i="7"/>
  <c r="D554" i="7"/>
  <c r="D186" i="7"/>
  <c r="D44" i="7"/>
  <c r="D796" i="7"/>
  <c r="D627" i="7"/>
  <c r="D303" i="7"/>
  <c r="D274" i="7"/>
  <c r="D289" i="7"/>
  <c r="D763" i="7"/>
  <c r="D526" i="7"/>
  <c r="D718" i="7"/>
  <c r="D254" i="7"/>
  <c r="D151" i="7"/>
  <c r="D712" i="7"/>
  <c r="D227" i="7"/>
  <c r="D168" i="7"/>
  <c r="D245" i="7"/>
  <c r="D647" i="7"/>
  <c r="D308" i="7"/>
  <c r="D206" i="7"/>
  <c r="D795" i="7"/>
  <c r="D743" i="7"/>
  <c r="D590" i="7"/>
  <c r="D760" i="7"/>
  <c r="D438" i="7"/>
  <c r="D679" i="7"/>
  <c r="D228" i="7"/>
  <c r="D220" i="7"/>
  <c r="D290" i="7"/>
  <c r="D510" i="7"/>
  <c r="D672" i="7"/>
  <c r="D792" i="7"/>
  <c r="D264" i="7"/>
  <c r="F14" i="3"/>
  <c r="F15" i="3"/>
  <c r="F16" i="3"/>
  <c r="I9" i="2"/>
  <c r="J18" i="12" l="1"/>
  <c r="R9" i="9"/>
  <c r="R6" i="9"/>
  <c r="L7" i="2" s="1"/>
  <c r="Q9" i="9"/>
  <c r="Q7" i="9"/>
  <c r="Q5" i="9"/>
  <c r="G8" i="12"/>
  <c r="G29" i="12"/>
  <c r="G28" i="12"/>
  <c r="G24" i="12"/>
  <c r="G23" i="12"/>
  <c r="G19" i="12"/>
  <c r="G18" i="12"/>
  <c r="G12" i="12"/>
  <c r="G31" i="12"/>
  <c r="G30" i="12"/>
  <c r="G27" i="12"/>
  <c r="G14" i="12"/>
  <c r="G10" i="12"/>
  <c r="G22" i="12"/>
  <c r="G20" i="12"/>
  <c r="G16" i="12"/>
  <c r="G15" i="12"/>
  <c r="G32" i="12"/>
  <c r="G26" i="12"/>
  <c r="G25" i="12"/>
  <c r="G21" i="12"/>
  <c r="G17" i="12"/>
  <c r="G13" i="12"/>
  <c r="G11" i="12"/>
  <c r="G9" i="12"/>
  <c r="N19" i="3"/>
  <c r="N18" i="3"/>
  <c r="J19" i="12"/>
  <c r="R7" i="9"/>
  <c r="L8" i="2" s="1"/>
  <c r="R10" i="9"/>
  <c r="R8" i="9"/>
  <c r="R5" i="9"/>
  <c r="L6" i="2" s="1"/>
  <c r="Q10" i="9"/>
  <c r="Q8" i="9"/>
  <c r="Q6" i="9"/>
  <c r="B8" i="2"/>
  <c r="F8" i="2" s="1"/>
  <c r="B7" i="2"/>
  <c r="F7" i="2" s="1"/>
  <c r="B6" i="2"/>
  <c r="F6" i="2" s="1"/>
  <c r="F9" i="2" l="1"/>
  <c r="V9" i="9"/>
  <c r="U9" i="9"/>
  <c r="T9" i="9"/>
  <c r="C8" i="2"/>
  <c r="U7" i="9"/>
  <c r="T7" i="9"/>
  <c r="V7" i="9"/>
  <c r="C6" i="2"/>
  <c r="T5" i="9"/>
  <c r="U5" i="9"/>
  <c r="V5" i="9"/>
  <c r="U10" i="9"/>
  <c r="V10" i="9"/>
  <c r="T10" i="9"/>
  <c r="V8" i="9"/>
  <c r="U8" i="9"/>
  <c r="T8" i="9"/>
  <c r="U6" i="9"/>
  <c r="V6" i="9"/>
  <c r="T6" i="9"/>
  <c r="C7" i="2"/>
  <c r="B6" i="3" l="1"/>
  <c r="C7" i="12"/>
  <c r="B28" i="2"/>
  <c r="C15" i="15"/>
  <c r="L15" i="9"/>
  <c r="L18" i="9"/>
  <c r="J22" i="9"/>
  <c r="J18" i="9"/>
  <c r="L9" i="9"/>
  <c r="L22" i="9"/>
  <c r="J12" i="9"/>
  <c r="E8" i="2"/>
  <c r="L12" i="9"/>
  <c r="J10" i="9"/>
  <c r="J26" i="9"/>
  <c r="L10" i="9"/>
  <c r="L26" i="9"/>
  <c r="J15" i="9"/>
  <c r="J9" i="9"/>
  <c r="L24" i="9"/>
  <c r="L19" i="9"/>
  <c r="L16" i="9"/>
  <c r="J16" i="9"/>
  <c r="J19" i="9"/>
  <c r="J6" i="9"/>
  <c r="L6" i="9"/>
  <c r="E6" i="2"/>
  <c r="L13" i="9"/>
  <c r="L21" i="9"/>
  <c r="J13" i="9"/>
  <c r="J21" i="9"/>
  <c r="J24" i="9"/>
  <c r="F7" i="12"/>
  <c r="B19" i="3"/>
  <c r="L7" i="9"/>
  <c r="L20" i="9"/>
  <c r="J8" i="9"/>
  <c r="J23" i="9"/>
  <c r="J20" i="9"/>
  <c r="L14" i="9"/>
  <c r="L23" i="9"/>
  <c r="J14" i="9"/>
  <c r="J25" i="9"/>
  <c r="E7" i="2"/>
  <c r="L25" i="9"/>
  <c r="L17" i="9"/>
  <c r="J11" i="9"/>
  <c r="J17" i="9"/>
  <c r="L8" i="9"/>
  <c r="L11" i="9"/>
  <c r="J7" i="9"/>
  <c r="F7" i="3" l="1"/>
  <c r="G8" i="2"/>
  <c r="H8" i="2" s="1"/>
  <c r="J8" i="2"/>
  <c r="B23" i="2"/>
  <c r="C23" i="2"/>
  <c r="H6" i="3"/>
  <c r="I6" i="3" s="1"/>
  <c r="T13" i="3"/>
  <c r="H7" i="3"/>
  <c r="I7" i="3" s="1"/>
  <c r="F5" i="3"/>
  <c r="J6" i="2"/>
  <c r="H5" i="3"/>
  <c r="I5" i="3" s="1"/>
  <c r="E5" i="3"/>
  <c r="E6" i="3"/>
  <c r="E7" i="3"/>
  <c r="E9" i="2"/>
  <c r="G6" i="2"/>
  <c r="F6" i="3"/>
  <c r="J7" i="2"/>
  <c r="G7" i="2"/>
  <c r="H7" i="2" s="1"/>
  <c r="B13" i="2" l="1" a="1"/>
  <c r="B13" i="2" s="1"/>
  <c r="G5" i="3"/>
  <c r="B8" i="7"/>
  <c r="O8" i="2"/>
  <c r="K8" i="2"/>
  <c r="E16" i="3"/>
  <c r="B11" i="3"/>
  <c r="B12" i="3"/>
  <c r="C16" i="2"/>
  <c r="O6" i="2"/>
  <c r="B6" i="7"/>
  <c r="K6" i="2"/>
  <c r="E14" i="3"/>
  <c r="B16" i="2"/>
  <c r="C28" i="2"/>
  <c r="B30" i="2"/>
  <c r="Q23" i="3"/>
  <c r="C24" i="2"/>
  <c r="B24" i="2"/>
  <c r="B7" i="12"/>
  <c r="B5" i="3"/>
  <c r="C14" i="15"/>
  <c r="B17" i="2"/>
  <c r="C17" i="2" s="1"/>
  <c r="H6" i="2"/>
  <c r="G9" i="2"/>
  <c r="E15" i="3"/>
  <c r="K7" i="2"/>
  <c r="O7" i="2"/>
  <c r="B7" i="7"/>
  <c r="G6" i="3"/>
  <c r="G7" i="3"/>
  <c r="C13" i="2" l="1"/>
  <c r="E471" i="7"/>
  <c r="E196" i="7"/>
  <c r="E32" i="7"/>
  <c r="E551" i="7"/>
  <c r="E224" i="7"/>
  <c r="E809" i="7"/>
  <c r="E315" i="7"/>
  <c r="E611" i="7"/>
  <c r="E18" i="7"/>
  <c r="E199" i="7"/>
  <c r="E73" i="7"/>
  <c r="E131" i="7"/>
  <c r="E473" i="7"/>
  <c r="E272" i="7"/>
  <c r="E586" i="7"/>
  <c r="E64" i="7"/>
  <c r="E334" i="7"/>
  <c r="E184" i="7"/>
  <c r="E638" i="7"/>
  <c r="E134" i="7"/>
  <c r="E235" i="7"/>
  <c r="E171" i="7"/>
  <c r="E761" i="7"/>
  <c r="E109" i="7"/>
  <c r="E446" i="7"/>
  <c r="E692" i="7"/>
  <c r="E266" i="7"/>
  <c r="E703" i="7"/>
  <c r="E750" i="7"/>
  <c r="E721" i="7"/>
  <c r="E523" i="7"/>
  <c r="E344" i="7"/>
  <c r="E730" i="7"/>
  <c r="E650" i="7"/>
  <c r="E379" i="7"/>
  <c r="E574" i="7"/>
  <c r="E573" i="7"/>
  <c r="E152" i="7"/>
  <c r="E568" i="7"/>
  <c r="E192" i="7"/>
  <c r="E440" i="7"/>
  <c r="E655" i="7"/>
  <c r="E497" i="7"/>
  <c r="E260" i="7"/>
  <c r="E619" i="7"/>
  <c r="E298" i="7"/>
  <c r="E676" i="7"/>
  <c r="E39" i="7"/>
  <c r="E622" i="7"/>
  <c r="E664" i="7"/>
  <c r="E509" i="7"/>
  <c r="E198" i="7"/>
  <c r="E646" i="7"/>
  <c r="E794" i="7"/>
  <c r="E253" i="7"/>
  <c r="E742" i="7"/>
  <c r="E325" i="7"/>
  <c r="E711" i="7"/>
  <c r="E756" i="7"/>
  <c r="E475" i="7"/>
  <c r="E306" i="7"/>
  <c r="E512" i="7"/>
  <c r="E321" i="7"/>
  <c r="E214" i="7"/>
  <c r="E633" i="7"/>
  <c r="E363" i="7"/>
  <c r="E45" i="7"/>
  <c r="E140" i="7"/>
  <c r="E239" i="7"/>
  <c r="E177" i="7"/>
  <c r="E631" i="7"/>
  <c r="E529" i="7"/>
  <c r="E230" i="7"/>
  <c r="E724" i="7"/>
  <c r="E107" i="7"/>
  <c r="E404" i="7"/>
  <c r="E114" i="7"/>
  <c r="E566" i="7"/>
  <c r="E594" i="7"/>
  <c r="E462" i="7"/>
  <c r="E620" i="7"/>
  <c r="E552" i="7"/>
  <c r="E714" i="7"/>
  <c r="E145" i="7"/>
  <c r="E789" i="7"/>
  <c r="E678" i="7"/>
  <c r="E694" i="7"/>
  <c r="E322" i="7"/>
  <c r="E735" i="7"/>
  <c r="E478" i="7"/>
  <c r="E583" i="7"/>
  <c r="E354" i="7"/>
  <c r="E465" i="7"/>
  <c r="E218" i="7"/>
  <c r="E15" i="7"/>
  <c r="E111" i="7"/>
  <c r="E501" i="7"/>
  <c r="E369" i="7"/>
  <c r="E346" i="7"/>
  <c r="E696" i="7"/>
  <c r="E710" i="7"/>
  <c r="E768" i="7"/>
  <c r="E330" i="7"/>
  <c r="E558" i="7"/>
  <c r="E242" i="7"/>
  <c r="E661" i="7"/>
  <c r="E576" i="7"/>
  <c r="E300" i="7"/>
  <c r="E803" i="7"/>
  <c r="E142" i="7"/>
  <c r="E588" i="7"/>
  <c r="E75" i="7"/>
  <c r="E706" i="7"/>
  <c r="E524" i="7"/>
  <c r="E54" i="7"/>
  <c r="E83" i="7"/>
  <c r="E14" i="7"/>
  <c r="E540" i="7"/>
  <c r="E705" i="7"/>
  <c r="E328" i="7"/>
  <c r="E90" i="7"/>
  <c r="E246" i="7"/>
  <c r="E353" i="7"/>
  <c r="E388" i="7"/>
  <c r="E624" i="7"/>
  <c r="E209" i="7"/>
  <c r="E366" i="7"/>
  <c r="E726" i="7"/>
  <c r="E380" i="7"/>
  <c r="E660" i="7"/>
  <c r="E480" i="7"/>
  <c r="E553" i="7"/>
  <c r="E153" i="7"/>
  <c r="E602" i="7"/>
  <c r="E429" i="7"/>
  <c r="E112" i="7"/>
  <c r="E127" i="7"/>
  <c r="E517" i="7"/>
  <c r="E189" i="7"/>
  <c r="E484" i="7"/>
  <c r="E452" i="7"/>
  <c r="E393" i="7"/>
  <c r="E779" i="7"/>
  <c r="E808" i="7"/>
  <c r="E459" i="7"/>
  <c r="E535" i="7"/>
  <c r="E400" i="7"/>
  <c r="E193" i="7"/>
  <c r="E690" i="7"/>
  <c r="E87" i="7"/>
  <c r="E776" i="7"/>
  <c r="E644" i="7"/>
  <c r="E161" i="7"/>
  <c r="E312" i="7"/>
  <c r="E493" i="7"/>
  <c r="E25" i="7"/>
  <c r="E395" i="7"/>
  <c r="E613" i="7"/>
  <c r="E765" i="7"/>
  <c r="E738" i="7"/>
  <c r="E233" i="7"/>
  <c r="E424" i="7"/>
  <c r="E745" i="7"/>
  <c r="E754" i="7"/>
  <c r="E591" i="7"/>
  <c r="E384" i="7"/>
  <c r="E221" i="7"/>
  <c r="E538" i="7"/>
  <c r="E454" i="7"/>
  <c r="E728" i="7"/>
  <c r="E609" i="7"/>
  <c r="E62" i="7"/>
  <c r="E485" i="7"/>
  <c r="E733" i="7"/>
  <c r="E50" i="7"/>
  <c r="E688" i="7"/>
  <c r="E503" i="7"/>
  <c r="E422" i="7"/>
  <c r="E708" i="7"/>
  <c r="E600" i="7"/>
  <c r="E203" i="7"/>
  <c r="E507" i="7"/>
  <c r="E175" i="7"/>
  <c r="E786" i="7"/>
  <c r="E249" i="7"/>
  <c r="E435" i="7"/>
  <c r="E147" i="7"/>
  <c r="E281" i="7"/>
  <c r="E628" i="7"/>
  <c r="E635" i="7"/>
  <c r="E667" i="7"/>
  <c r="E442" i="7"/>
  <c r="E342" i="7"/>
  <c r="C37" i="2"/>
  <c r="B37" i="2"/>
  <c r="E810" i="7"/>
  <c r="E805" i="7"/>
  <c r="E804" i="7"/>
  <c r="E802" i="7"/>
  <c r="E799" i="7"/>
  <c r="E798" i="7"/>
  <c r="E796" i="7"/>
  <c r="E795" i="7"/>
  <c r="E790" i="7"/>
  <c r="E788" i="7"/>
  <c r="E787" i="7"/>
  <c r="E785" i="7"/>
  <c r="E783" i="7"/>
  <c r="E782" i="7"/>
  <c r="E778" i="7"/>
  <c r="E777" i="7"/>
  <c r="E775" i="7"/>
  <c r="E774" i="7"/>
  <c r="E772" i="7"/>
  <c r="E771" i="7"/>
  <c r="E769" i="7"/>
  <c r="E766" i="7"/>
  <c r="E760" i="7"/>
  <c r="E759" i="7"/>
  <c r="E758" i="7"/>
  <c r="E757" i="7"/>
  <c r="E751" i="7"/>
  <c r="E749" i="7"/>
  <c r="E747" i="7"/>
  <c r="E746" i="7"/>
  <c r="E743" i="7"/>
  <c r="E741" i="7"/>
  <c r="E739" i="7"/>
  <c r="E734" i="7"/>
  <c r="E732" i="7"/>
  <c r="E727" i="7"/>
  <c r="E725" i="7"/>
  <c r="E723" i="7"/>
  <c r="E722" i="7"/>
  <c r="E720" i="7"/>
  <c r="E719" i="7"/>
  <c r="E718" i="7"/>
  <c r="E715" i="7"/>
  <c r="E713" i="7"/>
  <c r="E709" i="7"/>
  <c r="E702" i="7"/>
  <c r="E698" i="7"/>
  <c r="E697" i="7"/>
  <c r="E695" i="7"/>
  <c r="E689" i="7"/>
  <c r="E687" i="7"/>
  <c r="E685" i="7"/>
  <c r="E684" i="7"/>
  <c r="E683" i="7"/>
  <c r="E679" i="7"/>
  <c r="E677" i="7"/>
  <c r="E675" i="7"/>
  <c r="E674" i="7"/>
  <c r="E673" i="7"/>
  <c r="E668" i="7"/>
  <c r="E659" i="7"/>
  <c r="E658" i="7"/>
  <c r="E656" i="7"/>
  <c r="E654" i="7"/>
  <c r="E649" i="7"/>
  <c r="E648" i="7"/>
  <c r="E645" i="7"/>
  <c r="E642" i="7"/>
  <c r="E640" i="7"/>
  <c r="E639" i="7"/>
  <c r="E636" i="7"/>
  <c r="E634" i="7"/>
  <c r="E627" i="7"/>
  <c r="E623" i="7"/>
  <c r="E618" i="7"/>
  <c r="E615" i="7"/>
  <c r="E610" i="7"/>
  <c r="E607" i="7"/>
  <c r="E606" i="7"/>
  <c r="E605" i="7"/>
  <c r="E604" i="7"/>
  <c r="E603" i="7"/>
  <c r="E597" i="7"/>
  <c r="E590" i="7"/>
  <c r="E589" i="7"/>
  <c r="E587" i="7"/>
  <c r="E578" i="7"/>
  <c r="E575" i="7"/>
  <c r="E570" i="7"/>
  <c r="E567" i="7"/>
  <c r="E563" i="7"/>
  <c r="E561" i="7"/>
  <c r="E559" i="7"/>
  <c r="E556" i="7"/>
  <c r="E554" i="7"/>
  <c r="E550" i="7"/>
  <c r="E547" i="7"/>
  <c r="E546" i="7"/>
  <c r="E544" i="7"/>
  <c r="E543" i="7"/>
  <c r="E542" i="7"/>
  <c r="E541" i="7"/>
  <c r="E537" i="7"/>
  <c r="E536" i="7"/>
  <c r="E534" i="7"/>
  <c r="E532" i="7"/>
  <c r="E528" i="7"/>
  <c r="E527" i="7"/>
  <c r="E526" i="7"/>
  <c r="E525" i="7"/>
  <c r="E522" i="7"/>
  <c r="E521" i="7"/>
  <c r="E519" i="7"/>
  <c r="E518" i="7"/>
  <c r="E513" i="7"/>
  <c r="E508" i="7"/>
  <c r="E505" i="7"/>
  <c r="E504" i="7"/>
  <c r="E500" i="7"/>
  <c r="E499" i="7"/>
  <c r="E498" i="7"/>
  <c r="E496" i="7"/>
  <c r="E494" i="7"/>
  <c r="E492" i="7"/>
  <c r="E490" i="7"/>
  <c r="E488" i="7"/>
  <c r="E487" i="7"/>
  <c r="E486" i="7"/>
  <c r="E483" i="7"/>
  <c r="E482" i="7"/>
  <c r="E481" i="7"/>
  <c r="E479" i="7"/>
  <c r="E477" i="7"/>
  <c r="E474" i="7"/>
  <c r="E472" i="7"/>
  <c r="E470" i="7"/>
  <c r="E469" i="7"/>
  <c r="E466" i="7"/>
  <c r="E460" i="7"/>
  <c r="E458" i="7"/>
  <c r="E457" i="7"/>
  <c r="E456" i="7"/>
  <c r="E447" i="7"/>
  <c r="E444" i="7"/>
  <c r="E443" i="7"/>
  <c r="E437" i="7"/>
  <c r="E433" i="7"/>
  <c r="E432" i="7"/>
  <c r="E431" i="7"/>
  <c r="E427" i="7"/>
  <c r="E425" i="7"/>
  <c r="E423" i="7"/>
  <c r="E415" i="7"/>
  <c r="E414" i="7"/>
  <c r="E410" i="7"/>
  <c r="E408" i="7"/>
  <c r="E407" i="7"/>
  <c r="E405" i="7"/>
  <c r="E403" i="7"/>
  <c r="E402" i="7"/>
  <c r="E401" i="7"/>
  <c r="E398" i="7"/>
  <c r="E396" i="7"/>
  <c r="E394" i="7"/>
  <c r="E392" i="7"/>
  <c r="E389" i="7"/>
  <c r="E387" i="7"/>
  <c r="E386" i="7"/>
  <c r="E382" i="7"/>
  <c r="E381" i="7"/>
  <c r="E373" i="7"/>
  <c r="E372" i="7"/>
  <c r="E371" i="7"/>
  <c r="E370" i="7"/>
  <c r="E368" i="7"/>
  <c r="E367" i="7"/>
  <c r="E364" i="7"/>
  <c r="E362" i="7"/>
  <c r="E360" i="7"/>
  <c r="E359" i="7"/>
  <c r="E355" i="7"/>
  <c r="E351" i="7"/>
  <c r="E350" i="7"/>
  <c r="E349" i="7"/>
  <c r="E348" i="7"/>
  <c r="E347" i="7"/>
  <c r="E341" i="7"/>
  <c r="E340" i="7"/>
  <c r="E336" i="7"/>
  <c r="E335" i="7"/>
  <c r="E331" i="7"/>
  <c r="E329" i="7"/>
  <c r="E327" i="7"/>
  <c r="E320" i="7"/>
  <c r="E319" i="7"/>
  <c r="E317" i="7"/>
  <c r="E313" i="7"/>
  <c r="E311" i="7"/>
  <c r="E309" i="7"/>
  <c r="E308" i="7"/>
  <c r="E304" i="7"/>
  <c r="E303" i="7"/>
  <c r="E301" i="7"/>
  <c r="E295" i="7"/>
  <c r="E294" i="7"/>
  <c r="E292" i="7"/>
  <c r="E288" i="7"/>
  <c r="E286" i="7"/>
  <c r="E284" i="7"/>
  <c r="E283" i="7"/>
  <c r="E280" i="7"/>
  <c r="E279" i="7"/>
  <c r="E278" i="7"/>
  <c r="E277" i="7"/>
  <c r="E275" i="7"/>
  <c r="E274" i="7"/>
  <c r="E273" i="7"/>
  <c r="E270" i="7"/>
  <c r="E268" i="7"/>
  <c r="E265" i="7"/>
  <c r="E264" i="7"/>
  <c r="E263" i="7"/>
  <c r="E261" i="7"/>
  <c r="E259" i="7"/>
  <c r="E256" i="7"/>
  <c r="E255" i="7"/>
  <c r="E254" i="7"/>
  <c r="E252" i="7"/>
  <c r="E248" i="7"/>
  <c r="E247" i="7"/>
  <c r="E245" i="7"/>
  <c r="E243" i="7"/>
  <c r="E241" i="7"/>
  <c r="E240" i="7"/>
  <c r="E238" i="7"/>
  <c r="E236" i="7"/>
  <c r="E234" i="7"/>
  <c r="E231" i="7"/>
  <c r="E229" i="7"/>
  <c r="E228" i="7"/>
  <c r="E227" i="7"/>
  <c r="E226" i="7"/>
  <c r="E222" i="7"/>
  <c r="E220" i="7"/>
  <c r="E219" i="7"/>
  <c r="E216" i="7"/>
  <c r="E211" i="7"/>
  <c r="E210" i="7"/>
  <c r="E207" i="7"/>
  <c r="E206" i="7"/>
  <c r="E205" i="7"/>
  <c r="E201" i="7"/>
  <c r="E200" i="7"/>
  <c r="E197" i="7"/>
  <c r="E190" i="7"/>
  <c r="E187" i="7"/>
  <c r="E186" i="7"/>
  <c r="E185" i="7"/>
  <c r="E182" i="7"/>
  <c r="E176" i="7"/>
  <c r="E174" i="7"/>
  <c r="E172" i="7"/>
  <c r="E168" i="7"/>
  <c r="E166" i="7"/>
  <c r="E164" i="7"/>
  <c r="E159" i="7"/>
  <c r="E157" i="7"/>
  <c r="E156" i="7"/>
  <c r="E151" i="7"/>
  <c r="E141" i="7"/>
  <c r="E139" i="7"/>
  <c r="E137" i="7"/>
  <c r="E135" i="7"/>
  <c r="E133" i="7"/>
  <c r="E129" i="7"/>
  <c r="E126" i="7"/>
  <c r="E125" i="7"/>
  <c r="E124" i="7"/>
  <c r="E122" i="7"/>
  <c r="E121" i="7"/>
  <c r="E119" i="7"/>
  <c r="E117" i="7"/>
  <c r="E115" i="7"/>
  <c r="E110" i="7"/>
  <c r="E108" i="7"/>
  <c r="E105" i="7"/>
  <c r="E104" i="7"/>
  <c r="E102" i="7"/>
  <c r="E101" i="7"/>
  <c r="E100" i="7"/>
  <c r="E97" i="7"/>
  <c r="E92" i="7"/>
  <c r="E91" i="7"/>
  <c r="E89" i="7"/>
  <c r="E88" i="7"/>
  <c r="E86" i="7"/>
  <c r="E85" i="7"/>
  <c r="E84" i="7"/>
  <c r="E81" i="7"/>
  <c r="E78" i="7"/>
  <c r="E76" i="7"/>
  <c r="E74" i="7"/>
  <c r="E72" i="7"/>
  <c r="E71" i="7"/>
  <c r="E66" i="7"/>
  <c r="E65" i="7"/>
  <c r="E63" i="7"/>
  <c r="E61" i="7"/>
  <c r="E59" i="7"/>
  <c r="E58" i="7"/>
  <c r="E55" i="7"/>
  <c r="E53" i="7"/>
  <c r="E52" i="7"/>
  <c r="E46" i="7"/>
  <c r="E43" i="7"/>
  <c r="E42" i="7"/>
  <c r="E34" i="7"/>
  <c r="E33" i="7"/>
  <c r="E31" i="7"/>
  <c r="E29" i="7"/>
  <c r="E26" i="7"/>
  <c r="E24" i="7"/>
  <c r="E22" i="7"/>
  <c r="E21" i="7"/>
  <c r="E19" i="7"/>
  <c r="E17" i="7"/>
  <c r="E16" i="7"/>
  <c r="E12" i="7"/>
  <c r="E510" i="7"/>
  <c r="E418" i="7"/>
  <c r="E531" i="7"/>
  <c r="E82" i="7"/>
  <c r="E625" i="7"/>
  <c r="E801" i="7"/>
  <c r="E267" i="7"/>
  <c r="E691" i="7"/>
  <c r="E80" i="7"/>
  <c r="E167" i="7"/>
  <c r="E411" i="7"/>
  <c r="E621" i="7"/>
  <c r="E146" i="7"/>
  <c r="E596" i="7"/>
  <c r="E385" i="7"/>
  <c r="E530" i="7"/>
  <c r="E412" i="7"/>
  <c r="E120" i="7"/>
  <c r="E136" i="7"/>
  <c r="E378" i="7"/>
  <c r="E345" i="7"/>
  <c r="E616" i="7"/>
  <c r="E755" i="7"/>
  <c r="E143" i="7"/>
  <c r="E27" i="7"/>
  <c r="E672" i="7"/>
  <c r="E555" i="7"/>
  <c r="E302" i="7"/>
  <c r="E291" i="7"/>
  <c r="E130" i="7"/>
  <c r="E539" i="7"/>
  <c r="E338" i="7"/>
  <c r="E113" i="7"/>
  <c r="E680" i="7"/>
  <c r="E339" i="7"/>
  <c r="E155" i="7"/>
  <c r="E409" i="7"/>
  <c r="E736" i="7"/>
  <c r="E716" i="7"/>
  <c r="E365" i="7"/>
  <c r="E202" i="7"/>
  <c r="E375" i="7"/>
  <c r="E520" i="7"/>
  <c r="E582" i="7"/>
  <c r="E343" i="7"/>
  <c r="E740" i="7"/>
  <c r="E49" i="7"/>
  <c r="E162" i="7"/>
  <c r="E665" i="7"/>
  <c r="E47" i="7"/>
  <c r="E191" i="7"/>
  <c r="E643" i="7"/>
  <c r="E99" i="7"/>
  <c r="E652" i="7"/>
  <c r="E601" i="7"/>
  <c r="E36" i="7"/>
  <c r="E682" i="7"/>
  <c r="E413" i="7"/>
  <c r="E406" i="7"/>
  <c r="E608" i="7"/>
  <c r="E271" i="7"/>
  <c r="E67" i="7"/>
  <c r="E374" i="7"/>
  <c r="E491" i="7"/>
  <c r="E195" i="7"/>
  <c r="E598" i="7"/>
  <c r="E807" i="7"/>
  <c r="E704" i="7"/>
  <c r="E358" i="7"/>
  <c r="E333" i="7"/>
  <c r="E632" i="7"/>
  <c r="E69" i="7"/>
  <c r="E225" i="7"/>
  <c r="E467" i="7"/>
  <c r="E262" i="7"/>
  <c r="E464" i="7"/>
  <c r="E421" i="7"/>
  <c r="E390" i="7"/>
  <c r="E436" i="7"/>
  <c r="E237" i="7"/>
  <c r="E806" i="7"/>
  <c r="E612" i="7"/>
  <c r="E103" i="7"/>
  <c r="E434" i="7"/>
  <c r="E637" i="7"/>
  <c r="E324" i="7"/>
  <c r="E285" i="7"/>
  <c r="E154" i="7"/>
  <c r="E791" i="7"/>
  <c r="E148" i="7"/>
  <c r="E420" i="7"/>
  <c r="E441" i="7"/>
  <c r="E762" i="7"/>
  <c r="E41" i="7"/>
  <c r="E630" i="7"/>
  <c r="E666" i="7"/>
  <c r="E686" i="7"/>
  <c r="E428" i="7"/>
  <c r="E165" i="7"/>
  <c r="E44" i="7"/>
  <c r="E781" i="7"/>
  <c r="E502" i="7"/>
  <c r="E595" i="7"/>
  <c r="E416" i="7"/>
  <c r="E792" i="7"/>
  <c r="E614" i="7"/>
  <c r="E780" i="7"/>
  <c r="E476" i="7"/>
  <c r="E299" i="7"/>
  <c r="E593" i="7"/>
  <c r="E35" i="7"/>
  <c r="E377" i="7"/>
  <c r="E707" i="7"/>
  <c r="E307" i="7"/>
  <c r="E332" i="7"/>
  <c r="E641" i="7"/>
  <c r="E770" i="7"/>
  <c r="E178" i="7"/>
  <c r="E290" i="7"/>
  <c r="E670" i="7"/>
  <c r="E357" i="7"/>
  <c r="E160" i="7"/>
  <c r="E693" i="7"/>
  <c r="E250" i="7"/>
  <c r="E77" i="7"/>
  <c r="E180" i="7"/>
  <c r="E599" i="7"/>
  <c r="E128" i="7"/>
  <c r="E585" i="7"/>
  <c r="E463" i="7"/>
  <c r="E455" i="7"/>
  <c r="E144" i="7"/>
  <c r="E318" i="7"/>
  <c r="E95" i="7"/>
  <c r="E397" i="7"/>
  <c r="E450" i="7"/>
  <c r="E417" i="7"/>
  <c r="E592" i="7"/>
  <c r="E391" i="7"/>
  <c r="E764" i="7"/>
  <c r="E800" i="7"/>
  <c r="E700" i="7"/>
  <c r="E289" i="7"/>
  <c r="E737" i="7"/>
  <c r="E651" i="7"/>
  <c r="E449" i="7"/>
  <c r="E258" i="7"/>
  <c r="E729" i="7"/>
  <c r="E323" i="7"/>
  <c r="E213" i="7"/>
  <c r="E194" i="7"/>
  <c r="E647" i="7"/>
  <c r="E763" i="7"/>
  <c r="E38" i="7"/>
  <c r="E752" i="7"/>
  <c r="E571" i="7"/>
  <c r="E572" i="7"/>
  <c r="E93" i="7"/>
  <c r="E451" i="7"/>
  <c r="E712" i="7"/>
  <c r="E132" i="7"/>
  <c r="E297" i="7"/>
  <c r="E438" i="7"/>
  <c r="E56" i="7"/>
  <c r="E170" i="7"/>
  <c r="E663" i="7"/>
  <c r="E48" i="7"/>
  <c r="E223" i="7"/>
  <c r="E662" i="7"/>
  <c r="E580" i="7"/>
  <c r="E453" i="7"/>
  <c r="E217" i="7"/>
  <c r="E183" i="7"/>
  <c r="E204" i="7"/>
  <c r="E13" i="7"/>
  <c r="E149" i="7"/>
  <c r="E439" i="7"/>
  <c r="E10" i="3" a="1"/>
  <c r="E10" i="3" s="1"/>
  <c r="B15" i="2" a="1"/>
  <c r="B15" i="2" s="1"/>
  <c r="C15" i="2" s="1"/>
  <c r="B35" i="2"/>
  <c r="C35" i="2"/>
  <c r="A39" i="2"/>
  <c r="E7" i="12"/>
  <c r="G7" i="12" s="1"/>
  <c r="J20" i="12" a="1"/>
  <c r="J20" i="12" s="1"/>
  <c r="J15" i="12" a="1"/>
  <c r="J15" i="12" s="1"/>
  <c r="D7" i="12"/>
  <c r="J14" i="12"/>
  <c r="T14" i="3"/>
  <c r="L10" i="3"/>
  <c r="L9" i="3"/>
  <c r="B7" i="3"/>
  <c r="B8" i="3"/>
  <c r="B20" i="3" s="1"/>
  <c r="B21" i="3" s="1"/>
  <c r="B21" i="2" s="1"/>
  <c r="C21" i="2" s="1"/>
  <c r="B10" i="3"/>
  <c r="B20" i="2"/>
  <c r="B9" i="3"/>
  <c r="L12" i="3"/>
  <c r="L13" i="3" s="1"/>
  <c r="L14" i="3" s="1"/>
  <c r="B22" i="2"/>
  <c r="B29" i="2"/>
  <c r="C29" i="2"/>
  <c r="H9" i="2"/>
  <c r="C17" i="15" s="1"/>
  <c r="C16" i="15"/>
  <c r="B36" i="2"/>
  <c r="C36" i="2"/>
  <c r="E316" i="7"/>
  <c r="E310" i="7"/>
  <c r="E23" i="7"/>
  <c r="E212" i="7"/>
  <c r="E581" i="7"/>
  <c r="E158" i="7"/>
  <c r="E376" i="7"/>
  <c r="E60" i="7"/>
  <c r="E106" i="7"/>
  <c r="E419" i="7"/>
  <c r="E314" i="7"/>
  <c r="E287" i="7"/>
  <c r="E337" i="7"/>
  <c r="E562" i="7"/>
  <c r="E629" i="7"/>
  <c r="E79" i="7"/>
  <c r="E579" i="7"/>
  <c r="E753" i="7"/>
  <c r="E123" i="7"/>
  <c r="E617" i="7"/>
  <c r="E269" i="7"/>
  <c r="E150" i="7"/>
  <c r="E430" i="7"/>
  <c r="E361" i="7"/>
  <c r="E232" i="7"/>
  <c r="E657" i="7"/>
  <c r="E669" i="7"/>
  <c r="E244" i="7"/>
  <c r="E70" i="7"/>
  <c r="E461" i="7"/>
  <c r="E188" i="7"/>
  <c r="E215" i="7"/>
  <c r="E179" i="7"/>
  <c r="E557" i="7"/>
  <c r="E626" i="7"/>
  <c r="E569" i="7"/>
  <c r="E565" i="7"/>
  <c r="E305" i="7"/>
  <c r="E28" i="7"/>
  <c r="E767" i="7"/>
  <c r="E448" i="7"/>
  <c r="E533" i="7"/>
  <c r="E356" i="7"/>
  <c r="E138" i="7"/>
  <c r="E699" i="7"/>
  <c r="E181" i="7"/>
  <c r="E257" i="7"/>
  <c r="E549" i="7"/>
  <c r="E208" i="7"/>
  <c r="E173" i="7"/>
  <c r="E671" i="7"/>
  <c r="E445" i="7"/>
  <c r="E514" i="7"/>
  <c r="E57" i="7"/>
  <c r="E163" i="7"/>
  <c r="E296" i="7"/>
  <c r="E94" i="7"/>
  <c r="E793" i="7"/>
  <c r="E96" i="7"/>
  <c r="E515" i="7"/>
  <c r="E98" i="7"/>
  <c r="E399" i="7"/>
  <c r="E577" i="7"/>
  <c r="E717" i="7"/>
  <c r="E468" i="7"/>
  <c r="E516" i="7"/>
  <c r="E251" i="7"/>
  <c r="E326" i="7"/>
  <c r="E545" i="7"/>
  <c r="E169" i="7"/>
  <c r="E293" i="7"/>
  <c r="E701" i="7"/>
  <c r="E506" i="7"/>
  <c r="E748" i="7"/>
  <c r="E20" i="7"/>
  <c r="E495" i="7"/>
  <c r="E797" i="7"/>
  <c r="E383" i="7"/>
  <c r="E773" i="7"/>
  <c r="E564" i="7"/>
  <c r="E118" i="7"/>
  <c r="E560" i="7"/>
  <c r="E548" i="7"/>
  <c r="E426" i="7"/>
  <c r="E282" i="7"/>
  <c r="E584" i="7"/>
  <c r="E30" i="7"/>
  <c r="E276" i="7"/>
  <c r="E37" i="7"/>
  <c r="E653" i="7"/>
  <c r="E511" i="7"/>
  <c r="E681" i="7"/>
  <c r="E68" i="7"/>
  <c r="E489" i="7"/>
  <c r="E731" i="7"/>
  <c r="E40" i="7"/>
  <c r="E744" i="7"/>
  <c r="E116" i="7"/>
  <c r="E352" i="7"/>
  <c r="E784" i="7"/>
  <c r="E51" i="7"/>
  <c r="S12" i="7" l="1" a="1"/>
  <c r="J17" i="12"/>
  <c r="B19" i="2"/>
  <c r="J16" i="12"/>
  <c r="J524" i="7" l="1" a="1"/>
  <c r="J524" i="7" s="1"/>
  <c r="K524" i="7" s="1"/>
  <c r="J525" i="7" a="1"/>
  <c r="J525" i="7" s="1"/>
  <c r="K525" i="7" s="1"/>
  <c r="J526" i="7" a="1"/>
  <c r="J526" i="7" s="1"/>
  <c r="K526" i="7" s="1"/>
  <c r="J527" i="7" a="1"/>
  <c r="J527" i="7" s="1"/>
  <c r="K527" i="7" s="1"/>
  <c r="J528" i="7" a="1"/>
  <c r="J528" i="7" s="1"/>
  <c r="K528" i="7" s="1"/>
  <c r="J529" i="7" a="1"/>
  <c r="J529" i="7" s="1"/>
  <c r="K529" i="7" s="1"/>
  <c r="J530" i="7" a="1"/>
  <c r="J530" i="7" s="1"/>
  <c r="K530" i="7" s="1"/>
  <c r="J531" i="7" a="1"/>
  <c r="J531" i="7" s="1"/>
  <c r="K531" i="7" s="1"/>
  <c r="J532" i="7" a="1"/>
  <c r="J532" i="7" s="1"/>
  <c r="K532" i="7" s="1"/>
  <c r="J533" i="7" a="1"/>
  <c r="J533" i="7" s="1"/>
  <c r="K533" i="7" s="1"/>
  <c r="J534" i="7" a="1"/>
  <c r="J534" i="7" s="1"/>
  <c r="K534" i="7" s="1"/>
  <c r="J535" i="7" a="1"/>
  <c r="J535" i="7" s="1"/>
  <c r="K535" i="7" s="1"/>
  <c r="J536" i="7" a="1"/>
  <c r="J536" i="7" s="1"/>
  <c r="K536" i="7" s="1"/>
  <c r="J537" i="7" a="1"/>
  <c r="J537" i="7" s="1"/>
  <c r="K537" i="7" s="1"/>
  <c r="J538" i="7" a="1"/>
  <c r="J538" i="7" s="1"/>
  <c r="K538" i="7" s="1"/>
  <c r="J539" i="7" a="1"/>
  <c r="J539" i="7" s="1"/>
  <c r="K539" i="7" s="1"/>
  <c r="J540" i="7" a="1"/>
  <c r="J540" i="7" s="1"/>
  <c r="K540" i="7" s="1"/>
  <c r="J541" i="7" a="1"/>
  <c r="J541" i="7" s="1"/>
  <c r="K541" i="7" s="1"/>
  <c r="J542" i="7" a="1"/>
  <c r="J542" i="7" s="1"/>
  <c r="K542" i="7" s="1"/>
  <c r="J543" i="7" a="1"/>
  <c r="J543" i="7" s="1"/>
  <c r="K543" i="7" s="1"/>
  <c r="J544" i="7" a="1"/>
  <c r="J544" i="7" s="1"/>
  <c r="K544" i="7" s="1"/>
  <c r="J545" i="7" a="1"/>
  <c r="J545" i="7" s="1"/>
  <c r="K545" i="7" s="1"/>
  <c r="J546" i="7" a="1"/>
  <c r="J546" i="7" s="1"/>
  <c r="K546" i="7" s="1"/>
  <c r="J547" i="7" a="1"/>
  <c r="J547" i="7" s="1"/>
  <c r="K547" i="7" s="1"/>
  <c r="J548" i="7" a="1"/>
  <c r="J548" i="7" s="1"/>
  <c r="K548" i="7" s="1"/>
  <c r="J549" i="7" a="1"/>
  <c r="J549" i="7" s="1"/>
  <c r="K549" i="7" s="1"/>
  <c r="J550" i="7" a="1"/>
  <c r="J550" i="7" s="1"/>
  <c r="K550" i="7" s="1"/>
  <c r="J551" i="7" a="1"/>
  <c r="J551" i="7" s="1"/>
  <c r="K551" i="7" s="1"/>
  <c r="J552" i="7" a="1"/>
  <c r="J552" i="7" s="1"/>
  <c r="K552" i="7" s="1"/>
  <c r="J553" i="7" a="1"/>
  <c r="J553" i="7" s="1"/>
  <c r="K553" i="7" s="1"/>
  <c r="J554" i="7" a="1"/>
  <c r="J554" i="7" s="1"/>
  <c r="K554" i="7" s="1"/>
  <c r="J555" i="7" a="1"/>
  <c r="J555" i="7" s="1"/>
  <c r="K555" i="7" s="1"/>
  <c r="J556" i="7" a="1"/>
  <c r="J556" i="7" s="1"/>
  <c r="K556" i="7" s="1"/>
  <c r="J557" i="7" a="1"/>
  <c r="J557" i="7" s="1"/>
  <c r="K557" i="7" s="1"/>
  <c r="J558" i="7" a="1"/>
  <c r="J558" i="7" s="1"/>
  <c r="K558" i="7" s="1"/>
  <c r="J559" i="7" a="1"/>
  <c r="J559" i="7" s="1"/>
  <c r="K559" i="7" s="1"/>
  <c r="J560" i="7" a="1"/>
  <c r="J560" i="7" s="1"/>
  <c r="K560" i="7" s="1"/>
  <c r="J561" i="7" a="1"/>
  <c r="J561" i="7" s="1"/>
  <c r="K561" i="7" s="1"/>
  <c r="J562" i="7" a="1"/>
  <c r="J562" i="7" s="1"/>
  <c r="K562" i="7" s="1"/>
  <c r="J563" i="7" a="1"/>
  <c r="J563" i="7" s="1"/>
  <c r="K563" i="7" s="1"/>
  <c r="J564" i="7" a="1"/>
  <c r="J564" i="7" s="1"/>
  <c r="K564" i="7" s="1"/>
  <c r="J565" i="7" a="1"/>
  <c r="J565" i="7" s="1"/>
  <c r="K565" i="7" s="1"/>
  <c r="J566" i="7" a="1"/>
  <c r="J566" i="7" s="1"/>
  <c r="K566" i="7" s="1"/>
  <c r="J567" i="7" a="1"/>
  <c r="J567" i="7" s="1"/>
  <c r="K567" i="7" s="1"/>
  <c r="J568" i="7" a="1"/>
  <c r="J568" i="7" s="1"/>
  <c r="K568" i="7" s="1"/>
  <c r="J569" i="7" a="1"/>
  <c r="J569" i="7" s="1"/>
  <c r="K569" i="7" s="1"/>
  <c r="J570" i="7" a="1"/>
  <c r="J570" i="7" s="1"/>
  <c r="K570" i="7" s="1"/>
  <c r="J571" i="7" a="1"/>
  <c r="J571" i="7" s="1"/>
  <c r="K571" i="7" s="1"/>
  <c r="J572" i="7" a="1"/>
  <c r="J572" i="7" s="1"/>
  <c r="K572" i="7" s="1"/>
  <c r="J573" i="7" a="1"/>
  <c r="J573" i="7" s="1"/>
  <c r="K573" i="7" s="1"/>
  <c r="J574" i="7" a="1"/>
  <c r="J574" i="7" s="1"/>
  <c r="K574" i="7" s="1"/>
  <c r="J575" i="7" a="1"/>
  <c r="J575" i="7" s="1"/>
  <c r="K575" i="7" s="1"/>
  <c r="J576" i="7" a="1"/>
  <c r="J576" i="7" s="1"/>
  <c r="K576" i="7" s="1"/>
  <c r="J577" i="7" a="1"/>
  <c r="J577" i="7" s="1"/>
  <c r="K577" i="7" s="1"/>
  <c r="J578" i="7" a="1"/>
  <c r="J578" i="7" s="1"/>
  <c r="K578" i="7" s="1"/>
  <c r="J579" i="7" a="1"/>
  <c r="J579" i="7" s="1"/>
  <c r="K579" i="7" s="1"/>
  <c r="J580" i="7" a="1"/>
  <c r="J580" i="7" s="1"/>
  <c r="K580" i="7" s="1"/>
  <c r="J581" i="7" a="1"/>
  <c r="J581" i="7" s="1"/>
  <c r="K581" i="7" s="1"/>
  <c r="J582" i="7" a="1"/>
  <c r="J582" i="7" s="1"/>
  <c r="K582" i="7" s="1"/>
  <c r="J583" i="7" a="1"/>
  <c r="J583" i="7" s="1"/>
  <c r="K583" i="7" s="1"/>
  <c r="J587" i="7" a="1"/>
  <c r="J587" i="7" s="1"/>
  <c r="K587" i="7" s="1"/>
  <c r="J593" i="7" a="1"/>
  <c r="J593" i="7" s="1"/>
  <c r="K593" i="7" s="1"/>
  <c r="J600" i="7" a="1"/>
  <c r="J600" i="7" s="1"/>
  <c r="K600" i="7" s="1"/>
  <c r="J608" i="7" a="1"/>
  <c r="J608" i="7" s="1"/>
  <c r="K608" i="7" s="1"/>
  <c r="J612" i="7" a="1"/>
  <c r="J612" i="7" s="1"/>
  <c r="K612" i="7" s="1"/>
  <c r="J616" i="7" a="1"/>
  <c r="J616" i="7" s="1"/>
  <c r="K616" i="7" s="1"/>
  <c r="J625" i="7" a="1"/>
  <c r="J625" i="7" s="1"/>
  <c r="K625" i="7" s="1"/>
  <c r="J632" i="7" a="1"/>
  <c r="J632" i="7" s="1"/>
  <c r="K632" i="7" s="1"/>
  <c r="J640" i="7" a="1"/>
  <c r="J640" i="7" s="1"/>
  <c r="K640" i="7" s="1"/>
  <c r="S12" i="7"/>
  <c r="J99" i="7" a="1"/>
  <c r="J99" i="7" s="1"/>
  <c r="K99" i="7" s="1"/>
  <c r="J106" i="7" a="1"/>
  <c r="J106" i="7" s="1"/>
  <c r="K106" i="7" s="1"/>
  <c r="J108" i="7" a="1"/>
  <c r="J108" i="7" s="1"/>
  <c r="K108" i="7" s="1"/>
  <c r="J110" i="7" a="1"/>
  <c r="J110" i="7" s="1"/>
  <c r="K110" i="7" s="1"/>
  <c r="J113" i="7" a="1"/>
  <c r="J113" i="7" s="1"/>
  <c r="K113" i="7" s="1"/>
  <c r="J115" i="7" a="1"/>
  <c r="J115" i="7" s="1"/>
  <c r="K115" i="7" s="1"/>
  <c r="J117" i="7" a="1"/>
  <c r="J117" i="7" s="1"/>
  <c r="K117" i="7" s="1"/>
  <c r="J119" i="7" a="1"/>
  <c r="J119" i="7" s="1"/>
  <c r="K119" i="7" s="1"/>
  <c r="J121" i="7" a="1"/>
  <c r="J121" i="7" s="1"/>
  <c r="K121" i="7" s="1"/>
  <c r="J123" i="7" a="1"/>
  <c r="J123" i="7" s="1"/>
  <c r="K123" i="7" s="1"/>
  <c r="J127" i="7" a="1"/>
  <c r="J127" i="7" s="1"/>
  <c r="K127" i="7" s="1"/>
  <c r="J130" i="7" a="1"/>
  <c r="J130" i="7" s="1"/>
  <c r="K130" i="7" s="1"/>
  <c r="J132" i="7" a="1"/>
  <c r="J132" i="7" s="1"/>
  <c r="K132" i="7" s="1"/>
  <c r="J135" i="7" a="1"/>
  <c r="J135" i="7" s="1"/>
  <c r="K135" i="7" s="1"/>
  <c r="J137" i="7" a="1"/>
  <c r="J137" i="7" s="1"/>
  <c r="K137" i="7" s="1"/>
  <c r="J140" i="7" a="1"/>
  <c r="J140" i="7" s="1"/>
  <c r="K140" i="7" s="1"/>
  <c r="J142" i="7" a="1"/>
  <c r="J142" i="7" s="1"/>
  <c r="K142" i="7" s="1"/>
  <c r="J145" i="7" a="1"/>
  <c r="J145" i="7" s="1"/>
  <c r="K145" i="7" s="1"/>
  <c r="J147" i="7" a="1"/>
  <c r="J147" i="7" s="1"/>
  <c r="K147" i="7" s="1"/>
  <c r="J150" i="7" a="1"/>
  <c r="J150" i="7" s="1"/>
  <c r="K150" i="7" s="1"/>
  <c r="J152" i="7" a="1"/>
  <c r="J152" i="7" s="1"/>
  <c r="K152" i="7" s="1"/>
  <c r="J155" i="7" a="1"/>
  <c r="J155" i="7" s="1"/>
  <c r="K155" i="7" s="1"/>
  <c r="J157" i="7" a="1"/>
  <c r="J157" i="7" s="1"/>
  <c r="K157" i="7" s="1"/>
  <c r="J160" i="7" a="1"/>
  <c r="J160" i="7" s="1"/>
  <c r="K160" i="7" s="1"/>
  <c r="J163" i="7" a="1"/>
  <c r="J163" i="7" s="1"/>
  <c r="K163" i="7" s="1"/>
  <c r="J166" i="7" a="1"/>
  <c r="J166" i="7" s="1"/>
  <c r="K166" i="7" s="1"/>
  <c r="J169" i="7" a="1"/>
  <c r="J169" i="7" s="1"/>
  <c r="K169" i="7" s="1"/>
  <c r="J171" i="7" a="1"/>
  <c r="J171" i="7" s="1"/>
  <c r="K171" i="7" s="1"/>
  <c r="J174" i="7" a="1"/>
  <c r="J174" i="7" s="1"/>
  <c r="K174" i="7" s="1"/>
  <c r="J176" i="7" a="1"/>
  <c r="J176" i="7" s="1"/>
  <c r="K176" i="7" s="1"/>
  <c r="J180" i="7" a="1"/>
  <c r="J180" i="7" s="1"/>
  <c r="K180" i="7" s="1"/>
  <c r="J183" i="7" a="1"/>
  <c r="J183" i="7" s="1"/>
  <c r="K183" i="7" s="1"/>
  <c r="J185" i="7" a="1"/>
  <c r="J185" i="7" s="1"/>
  <c r="K185" i="7" s="1"/>
  <c r="J189" i="7" a="1"/>
  <c r="J189" i="7" s="1"/>
  <c r="K189" i="7" s="1"/>
  <c r="J190" i="7" a="1"/>
  <c r="J190" i="7" s="1"/>
  <c r="K190" i="7" s="1"/>
  <c r="J193" i="7" a="1"/>
  <c r="J193" i="7" s="1"/>
  <c r="K193" i="7" s="1"/>
  <c r="J194" i="7" a="1"/>
  <c r="J194" i="7" s="1"/>
  <c r="K194" i="7" s="1"/>
  <c r="J196" i="7" a="1"/>
  <c r="J196" i="7" s="1"/>
  <c r="K196" i="7" s="1"/>
  <c r="J197" i="7" a="1"/>
  <c r="J197" i="7" s="1"/>
  <c r="K197" i="7" s="1"/>
  <c r="J199" i="7" a="1"/>
  <c r="J199" i="7" s="1"/>
  <c r="K199" i="7" s="1"/>
  <c r="J201" i="7" a="1"/>
  <c r="J201" i="7" s="1"/>
  <c r="K201" i="7" s="1"/>
  <c r="J204" i="7" a="1"/>
  <c r="J204" i="7" s="1"/>
  <c r="K204" i="7" s="1"/>
  <c r="J205" i="7" a="1"/>
  <c r="J205" i="7" s="1"/>
  <c r="K205" i="7" s="1"/>
  <c r="J207" i="7" a="1"/>
  <c r="J207" i="7" s="1"/>
  <c r="K207" i="7" s="1"/>
  <c r="J209" i="7" a="1"/>
  <c r="J209" i="7" s="1"/>
  <c r="K209" i="7" s="1"/>
  <c r="J213" i="7" a="1"/>
  <c r="J213" i="7" s="1"/>
  <c r="K213" i="7" s="1"/>
  <c r="J215" i="7" a="1"/>
  <c r="J215" i="7" s="1"/>
  <c r="K215" i="7" s="1"/>
  <c r="J217" i="7" a="1"/>
  <c r="J217" i="7" s="1"/>
  <c r="K217" i="7" s="1"/>
  <c r="J220" i="7" a="1"/>
  <c r="J220" i="7" s="1"/>
  <c r="K220" i="7" s="1"/>
  <c r="J223" i="7" a="1"/>
  <c r="J223" i="7" s="1"/>
  <c r="K223" i="7" s="1"/>
  <c r="J226" i="7" a="1"/>
  <c r="J226" i="7" s="1"/>
  <c r="K226" i="7" s="1"/>
  <c r="J228" i="7" a="1"/>
  <c r="J228" i="7" s="1"/>
  <c r="K228" i="7" s="1"/>
  <c r="J231" i="7" a="1"/>
  <c r="J231" i="7" s="1"/>
  <c r="K231" i="7" s="1"/>
  <c r="J236" i="7" a="1"/>
  <c r="J236" i="7" s="1"/>
  <c r="K236" i="7" s="1"/>
  <c r="J238" i="7" a="1"/>
  <c r="J238" i="7" s="1"/>
  <c r="K238" i="7" s="1"/>
  <c r="J252" i="7" a="1"/>
  <c r="J252" i="7" s="1"/>
  <c r="K252" i="7" s="1"/>
  <c r="J255" i="7" a="1"/>
  <c r="J255" i="7" s="1"/>
  <c r="K255" i="7" s="1"/>
  <c r="J257" i="7" a="1"/>
  <c r="J257" i="7" s="1"/>
  <c r="K257" i="7" s="1"/>
  <c r="J262" i="7" a="1"/>
  <c r="J262" i="7" s="1"/>
  <c r="K262" i="7" s="1"/>
  <c r="J265" i="7" a="1"/>
  <c r="J265" i="7" s="1"/>
  <c r="K265" i="7" s="1"/>
  <c r="J267" i="7" a="1"/>
  <c r="J267" i="7" s="1"/>
  <c r="K267" i="7" s="1"/>
  <c r="J271" i="7" a="1"/>
  <c r="J271" i="7" s="1"/>
  <c r="K271" i="7" s="1"/>
  <c r="J274" i="7" a="1"/>
  <c r="J274" i="7" s="1"/>
  <c r="K274" i="7" s="1"/>
  <c r="J278" i="7" a="1"/>
  <c r="J278" i="7" s="1"/>
  <c r="K278" i="7" s="1"/>
  <c r="J280" i="7" a="1"/>
  <c r="J280" i="7" s="1"/>
  <c r="K280" i="7" s="1"/>
  <c r="J283" i="7" a="1"/>
  <c r="J283" i="7" s="1"/>
  <c r="K283" i="7" s="1"/>
  <c r="J285" i="7" a="1"/>
  <c r="J285" i="7" s="1"/>
  <c r="K285" i="7" s="1"/>
  <c r="J289" i="7" a="1"/>
  <c r="J289" i="7" s="1"/>
  <c r="K289" i="7" s="1"/>
  <c r="J291" i="7" a="1"/>
  <c r="J291" i="7" s="1"/>
  <c r="K291" i="7" s="1"/>
  <c r="J295" i="7" a="1"/>
  <c r="J295" i="7" s="1"/>
  <c r="K295" i="7" s="1"/>
  <c r="J297" i="7" a="1"/>
  <c r="J297" i="7" s="1"/>
  <c r="K297" i="7" s="1"/>
  <c r="J300" i="7" a="1"/>
  <c r="J300" i="7" s="1"/>
  <c r="K300" i="7" s="1"/>
  <c r="J302" i="7" a="1"/>
  <c r="J302" i="7" s="1"/>
  <c r="K302" i="7" s="1"/>
  <c r="J319" i="7" a="1"/>
  <c r="J319" i="7" s="1"/>
  <c r="K319" i="7" s="1"/>
  <c r="J336" i="7" a="1"/>
  <c r="J336" i="7" s="1"/>
  <c r="K336" i="7" s="1"/>
  <c r="J348" i="7" a="1"/>
  <c r="J348" i="7" s="1"/>
  <c r="K348" i="7" s="1"/>
  <c r="J125" i="7" a="1"/>
  <c r="J125" i="7" s="1"/>
  <c r="K125" i="7" s="1"/>
  <c r="J352" i="7" a="1"/>
  <c r="J352" i="7" s="1"/>
  <c r="K352" i="7" s="1"/>
  <c r="J355" i="7" a="1"/>
  <c r="J355" i="7" s="1"/>
  <c r="K355" i="7" s="1"/>
  <c r="J358" i="7" a="1"/>
  <c r="J358" i="7" s="1"/>
  <c r="K358" i="7" s="1"/>
  <c r="J362" i="7" a="1"/>
  <c r="J362" i="7" s="1"/>
  <c r="K362" i="7" s="1"/>
  <c r="J365" i="7" a="1"/>
  <c r="J365" i="7" s="1"/>
  <c r="K365" i="7" s="1"/>
  <c r="J368" i="7" a="1"/>
  <c r="J368" i="7" s="1"/>
  <c r="K368" i="7" s="1"/>
  <c r="J373" i="7" a="1"/>
  <c r="J373" i="7" s="1"/>
  <c r="K373" i="7" s="1"/>
  <c r="J375" i="7" a="1"/>
  <c r="J375" i="7" s="1"/>
  <c r="K375" i="7" s="1"/>
  <c r="J491" i="7" a="1"/>
  <c r="J491" i="7" s="1"/>
  <c r="K491" i="7" s="1"/>
  <c r="J496" i="7" a="1"/>
  <c r="J496" i="7" s="1"/>
  <c r="K496" i="7" s="1"/>
  <c r="J501" i="7" a="1"/>
  <c r="J501" i="7" s="1"/>
  <c r="K501" i="7" s="1"/>
  <c r="J504" i="7" a="1"/>
  <c r="J504" i="7" s="1"/>
  <c r="K504" i="7" s="1"/>
  <c r="J508" i="7" a="1"/>
  <c r="J508" i="7" s="1"/>
  <c r="K508" i="7" s="1"/>
  <c r="J511" i="7" a="1"/>
  <c r="J511" i="7" s="1"/>
  <c r="K511" i="7" s="1"/>
  <c r="J516" i="7" a="1"/>
  <c r="J516" i="7" s="1"/>
  <c r="K516" i="7" s="1"/>
  <c r="J520" i="7" a="1"/>
  <c r="J520" i="7" s="1"/>
  <c r="K520" i="7" s="1"/>
  <c r="J585" i="7" a="1"/>
  <c r="J585" i="7" s="1"/>
  <c r="K585" i="7" s="1"/>
  <c r="J589" i="7" a="1"/>
  <c r="J589" i="7" s="1"/>
  <c r="K589" i="7" s="1"/>
  <c r="J594" i="7" a="1"/>
  <c r="J594" i="7" s="1"/>
  <c r="K594" i="7" s="1"/>
  <c r="J598" i="7" a="1"/>
  <c r="J598" i="7" s="1"/>
  <c r="K598" i="7" s="1"/>
  <c r="J601" i="7" a="1"/>
  <c r="J601" i="7" s="1"/>
  <c r="K601" i="7" s="1"/>
  <c r="J603" i="7" a="1"/>
  <c r="J603" i="7" s="1"/>
  <c r="K603" i="7" s="1"/>
  <c r="J607" i="7" a="1"/>
  <c r="J607" i="7" s="1"/>
  <c r="K607" i="7" s="1"/>
  <c r="J624" i="7" a="1"/>
  <c r="J624" i="7" s="1"/>
  <c r="K624" i="7" s="1"/>
  <c r="J628" i="7" a="1"/>
  <c r="J628" i="7" s="1"/>
  <c r="K628" i="7" s="1"/>
  <c r="J633" i="7" a="1"/>
  <c r="J633" i="7" s="1"/>
  <c r="K633" i="7" s="1"/>
  <c r="J637" i="7" a="1"/>
  <c r="J637" i="7" s="1"/>
  <c r="K637" i="7" s="1"/>
  <c r="J13" i="7" a="1"/>
  <c r="J13" i="7" s="1"/>
  <c r="J14" i="7" a="1"/>
  <c r="J14" i="7" s="1"/>
  <c r="J15" i="7" a="1"/>
  <c r="J15" i="7" s="1"/>
  <c r="J16" i="7" a="1"/>
  <c r="J16" i="7" s="1"/>
  <c r="J17" i="7" a="1"/>
  <c r="J17" i="7" s="1"/>
  <c r="K17" i="7" s="1"/>
  <c r="J18" i="7" a="1"/>
  <c r="J18" i="7" s="1"/>
  <c r="K18" i="7" s="1"/>
  <c r="J19" i="7" a="1"/>
  <c r="J19" i="7" s="1"/>
  <c r="K19" i="7" s="1"/>
  <c r="J20" i="7" a="1"/>
  <c r="J20" i="7" s="1"/>
  <c r="K20" i="7" s="1"/>
  <c r="J21" i="7" a="1"/>
  <c r="J21" i="7" s="1"/>
  <c r="K21" i="7" s="1"/>
  <c r="J22" i="7" a="1"/>
  <c r="J22" i="7" s="1"/>
  <c r="K22" i="7" s="1"/>
  <c r="J23" i="7" a="1"/>
  <c r="J23" i="7" s="1"/>
  <c r="K23" i="7" s="1"/>
  <c r="J24" i="7" a="1"/>
  <c r="J24" i="7" s="1"/>
  <c r="K24" i="7" s="1"/>
  <c r="J25" i="7" a="1"/>
  <c r="J25" i="7" s="1"/>
  <c r="K25" i="7" s="1"/>
  <c r="J26" i="7" a="1"/>
  <c r="J26" i="7" s="1"/>
  <c r="K26" i="7" s="1"/>
  <c r="J27" i="7" a="1"/>
  <c r="J27" i="7" s="1"/>
  <c r="K27" i="7" s="1"/>
  <c r="J28" i="7" a="1"/>
  <c r="J28" i="7" s="1"/>
  <c r="K28" i="7" s="1"/>
  <c r="J29" i="7" a="1"/>
  <c r="J29" i="7" s="1"/>
  <c r="K29" i="7" s="1"/>
  <c r="J30" i="7" a="1"/>
  <c r="J30" i="7" s="1"/>
  <c r="K30" i="7" s="1"/>
  <c r="J31" i="7" a="1"/>
  <c r="J31" i="7" s="1"/>
  <c r="K31" i="7" s="1"/>
  <c r="J32" i="7" a="1"/>
  <c r="J32" i="7" s="1"/>
  <c r="K32" i="7" s="1"/>
  <c r="J33" i="7" a="1"/>
  <c r="J33" i="7" s="1"/>
  <c r="K33" i="7" s="1"/>
  <c r="J34" i="7" a="1"/>
  <c r="J34" i="7" s="1"/>
  <c r="K34" i="7" s="1"/>
  <c r="J35" i="7" a="1"/>
  <c r="J35" i="7" s="1"/>
  <c r="K35" i="7" s="1"/>
  <c r="J36" i="7" a="1"/>
  <c r="J36" i="7" s="1"/>
  <c r="K36" i="7" s="1"/>
  <c r="J37" i="7" a="1"/>
  <c r="J37" i="7" s="1"/>
  <c r="K37" i="7" s="1"/>
  <c r="J38" i="7" a="1"/>
  <c r="J38" i="7" s="1"/>
  <c r="K38" i="7" s="1"/>
  <c r="J39" i="7" a="1"/>
  <c r="J39" i="7" s="1"/>
  <c r="K39" i="7" s="1"/>
  <c r="J40" i="7" a="1"/>
  <c r="J40" i="7" s="1"/>
  <c r="K40" i="7" s="1"/>
  <c r="J41" i="7" a="1"/>
  <c r="J41" i="7" s="1"/>
  <c r="K41" i="7" s="1"/>
  <c r="J42" i="7" a="1"/>
  <c r="J42" i="7" s="1"/>
  <c r="K42" i="7" s="1"/>
  <c r="J43" i="7" a="1"/>
  <c r="J43" i="7" s="1"/>
  <c r="K43" i="7" s="1"/>
  <c r="J44" i="7" a="1"/>
  <c r="J44" i="7" s="1"/>
  <c r="K44" i="7" s="1"/>
  <c r="J45" i="7" a="1"/>
  <c r="J45" i="7" s="1"/>
  <c r="K45" i="7" s="1"/>
  <c r="J46" i="7" a="1"/>
  <c r="J46" i="7" s="1"/>
  <c r="K46" i="7" s="1"/>
  <c r="J47" i="7" a="1"/>
  <c r="J47" i="7" s="1"/>
  <c r="K47" i="7" s="1"/>
  <c r="J48" i="7" a="1"/>
  <c r="J48" i="7" s="1"/>
  <c r="K48" i="7" s="1"/>
  <c r="J49" i="7" a="1"/>
  <c r="J49" i="7" s="1"/>
  <c r="K49" i="7" s="1"/>
  <c r="J50" i="7" a="1"/>
  <c r="J50" i="7" s="1"/>
  <c r="K50" i="7" s="1"/>
  <c r="J51" i="7" a="1"/>
  <c r="J51" i="7" s="1"/>
  <c r="K51" i="7" s="1"/>
  <c r="J53" i="7" a="1"/>
  <c r="J53" i="7" s="1"/>
  <c r="K53" i="7" s="1"/>
  <c r="J54" i="7" a="1"/>
  <c r="J54" i="7" s="1"/>
  <c r="K54" i="7" s="1"/>
  <c r="J59" i="7" a="1"/>
  <c r="J59" i="7" s="1"/>
  <c r="K59" i="7" s="1"/>
  <c r="J60" i="7" a="1"/>
  <c r="J60" i="7" s="1"/>
  <c r="K60" i="7" s="1"/>
  <c r="J62" i="7" a="1"/>
  <c r="J62" i="7" s="1"/>
  <c r="K62" i="7" s="1"/>
  <c r="J63" i="7" a="1"/>
  <c r="J63" i="7" s="1"/>
  <c r="K63" i="7" s="1"/>
  <c r="J66" i="7" a="1"/>
  <c r="J66" i="7" s="1"/>
  <c r="K66" i="7" s="1"/>
  <c r="J67" i="7" a="1"/>
  <c r="J67" i="7" s="1"/>
  <c r="K67" i="7" s="1"/>
  <c r="J69" i="7" a="1"/>
  <c r="J69" i="7" s="1"/>
  <c r="K69" i="7" s="1"/>
  <c r="J71" i="7" a="1"/>
  <c r="J71" i="7" s="1"/>
  <c r="K71" i="7" s="1"/>
  <c r="J73" i="7" a="1"/>
  <c r="J73" i="7" s="1"/>
  <c r="K73" i="7" s="1"/>
  <c r="J76" i="7" a="1"/>
  <c r="J76" i="7" s="1"/>
  <c r="K76" i="7" s="1"/>
  <c r="J77" i="7" a="1"/>
  <c r="J77" i="7" s="1"/>
  <c r="K77" i="7" s="1"/>
  <c r="J79" i="7" a="1"/>
  <c r="J79" i="7" s="1"/>
  <c r="K79" i="7" s="1"/>
  <c r="J495" i="7" a="1"/>
  <c r="J495" i="7" s="1"/>
  <c r="K495" i="7" s="1"/>
  <c r="J513" i="7" a="1"/>
  <c r="J513" i="7" s="1"/>
  <c r="K513" i="7" s="1"/>
  <c r="J592" i="7" a="1"/>
  <c r="J592" i="7" s="1"/>
  <c r="K592" i="7" s="1"/>
  <c r="J610" i="7" a="1"/>
  <c r="J610" i="7" s="1"/>
  <c r="K610" i="7" s="1"/>
  <c r="J629" i="7" a="1"/>
  <c r="J629" i="7" s="1"/>
  <c r="K629" i="7" s="1"/>
  <c r="J377" i="7" a="1"/>
  <c r="J377" i="7" s="1"/>
  <c r="K377" i="7" s="1"/>
  <c r="J393" i="7" a="1"/>
  <c r="J393" i="7" s="1"/>
  <c r="K393" i="7" s="1"/>
  <c r="J397" i="7" a="1"/>
  <c r="J397" i="7" s="1"/>
  <c r="K397" i="7" s="1"/>
  <c r="J401" i="7" a="1"/>
  <c r="J401" i="7" s="1"/>
  <c r="K401" i="7" s="1"/>
  <c r="J405" i="7" a="1"/>
  <c r="J405" i="7" s="1"/>
  <c r="K405" i="7" s="1"/>
  <c r="J407" i="7" a="1"/>
  <c r="J407" i="7" s="1"/>
  <c r="K407" i="7" s="1"/>
  <c r="J412" i="7" a="1"/>
  <c r="J412" i="7" s="1"/>
  <c r="K412" i="7" s="1"/>
  <c r="J416" i="7" a="1"/>
  <c r="J416" i="7" s="1"/>
  <c r="K416" i="7" s="1"/>
  <c r="J420" i="7" a="1"/>
  <c r="J420" i="7" s="1"/>
  <c r="K420" i="7" s="1"/>
  <c r="J424" i="7" a="1"/>
  <c r="J424" i="7" s="1"/>
  <c r="K424" i="7" s="1"/>
  <c r="J436" i="7" a="1"/>
  <c r="J436" i="7" s="1"/>
  <c r="K436" i="7" s="1"/>
  <c r="J441" i="7" a="1"/>
  <c r="J441" i="7" s="1"/>
  <c r="K441" i="7" s="1"/>
  <c r="J443" i="7" a="1"/>
  <c r="J443" i="7" s="1"/>
  <c r="K443" i="7" s="1"/>
  <c r="J445" i="7" a="1"/>
  <c r="J445" i="7" s="1"/>
  <c r="K445" i="7" s="1"/>
  <c r="J448" i="7" a="1"/>
  <c r="J448" i="7" s="1"/>
  <c r="K448" i="7" s="1"/>
  <c r="J452" i="7" a="1"/>
  <c r="J452" i="7" s="1"/>
  <c r="K452" i="7" s="1"/>
  <c r="J455" i="7" a="1"/>
  <c r="J455" i="7" s="1"/>
  <c r="K455" i="7" s="1"/>
  <c r="J458" i="7" a="1"/>
  <c r="J458" i="7" s="1"/>
  <c r="K458" i="7" s="1"/>
  <c r="J460" i="7" a="1"/>
  <c r="J460" i="7" s="1"/>
  <c r="K460" i="7" s="1"/>
  <c r="J463" i="7" a="1"/>
  <c r="J463" i="7" s="1"/>
  <c r="K463" i="7" s="1"/>
  <c r="J466" i="7" a="1"/>
  <c r="J466" i="7" s="1"/>
  <c r="K466" i="7" s="1"/>
  <c r="J468" i="7" a="1"/>
  <c r="J468" i="7" s="1"/>
  <c r="K468" i="7" s="1"/>
  <c r="J473" i="7" a="1"/>
  <c r="J473" i="7" s="1"/>
  <c r="K473" i="7" s="1"/>
  <c r="J477" i="7" a="1"/>
  <c r="J477" i="7" s="1"/>
  <c r="K477" i="7" s="1"/>
  <c r="J481" i="7" a="1"/>
  <c r="J481" i="7" s="1"/>
  <c r="K481" i="7" s="1"/>
  <c r="J484" i="7" a="1"/>
  <c r="J484" i="7" s="1"/>
  <c r="K484" i="7" s="1"/>
  <c r="J487" i="7" a="1"/>
  <c r="J487" i="7" s="1"/>
  <c r="K487" i="7" s="1"/>
  <c r="J498" i="7" a="1"/>
  <c r="J498" i="7" s="1"/>
  <c r="K498" i="7" s="1"/>
  <c r="J521" i="7" a="1"/>
  <c r="J521" i="7" s="1"/>
  <c r="K521" i="7" s="1"/>
  <c r="J611" i="7" a="1"/>
  <c r="J611" i="7" s="1"/>
  <c r="K611" i="7" s="1"/>
  <c r="J627" i="7" a="1"/>
  <c r="J627" i="7" s="1"/>
  <c r="K627" i="7" s="1"/>
  <c r="J310" i="7" a="1"/>
  <c r="J310" i="7" s="1"/>
  <c r="K310" i="7" s="1"/>
  <c r="J327" i="7" a="1"/>
  <c r="J327" i="7" s="1"/>
  <c r="K327" i="7" s="1"/>
  <c r="J343" i="7" a="1"/>
  <c r="J343" i="7" s="1"/>
  <c r="K343" i="7" s="1"/>
  <c r="J80" i="7" a="1"/>
  <c r="J80" i="7" s="1"/>
  <c r="K80" i="7" s="1"/>
  <c r="J82" i="7" a="1"/>
  <c r="J82" i="7" s="1"/>
  <c r="K82" i="7" s="1"/>
  <c r="J84" i="7" a="1"/>
  <c r="J84" i="7" s="1"/>
  <c r="K84" i="7" s="1"/>
  <c r="J87" i="7" a="1"/>
  <c r="J87" i="7" s="1"/>
  <c r="K87" i="7" s="1"/>
  <c r="J88" i="7" a="1"/>
  <c r="J88" i="7" s="1"/>
  <c r="K88" i="7" s="1"/>
  <c r="J89" i="7" a="1"/>
  <c r="J89" i="7" s="1"/>
  <c r="K89" i="7" s="1"/>
  <c r="J90" i="7" a="1"/>
  <c r="J90" i="7" s="1"/>
  <c r="K90" i="7" s="1"/>
  <c r="J91" i="7" a="1"/>
  <c r="J91" i="7" s="1"/>
  <c r="K91" i="7" s="1"/>
  <c r="J92" i="7" a="1"/>
  <c r="J92" i="7" s="1"/>
  <c r="K92" i="7" s="1"/>
  <c r="J93" i="7" a="1"/>
  <c r="J93" i="7" s="1"/>
  <c r="K93" i="7" s="1"/>
  <c r="J94" i="7" a="1"/>
  <c r="J94" i="7" s="1"/>
  <c r="K94" i="7" s="1"/>
  <c r="J95" i="7" a="1"/>
  <c r="J95" i="7" s="1"/>
  <c r="K95" i="7" s="1"/>
  <c r="J96" i="7" a="1"/>
  <c r="J96" i="7" s="1"/>
  <c r="K96" i="7" s="1"/>
  <c r="J98" i="7" a="1"/>
  <c r="J98" i="7" s="1"/>
  <c r="K98" i="7" s="1"/>
  <c r="J100" i="7" a="1"/>
  <c r="J100" i="7" s="1"/>
  <c r="K100" i="7" s="1"/>
  <c r="J101" i="7" a="1"/>
  <c r="J101" i="7" s="1"/>
  <c r="K101" i="7" s="1"/>
  <c r="J102" i="7" a="1"/>
  <c r="J102" i="7" s="1"/>
  <c r="K102" i="7" s="1"/>
  <c r="J103" i="7" a="1"/>
  <c r="J103" i="7" s="1"/>
  <c r="K103" i="7" s="1"/>
  <c r="J104" i="7" a="1"/>
  <c r="J104" i="7" s="1"/>
  <c r="K104" i="7" s="1"/>
  <c r="J105" i="7" a="1"/>
  <c r="J105" i="7" s="1"/>
  <c r="K105" i="7" s="1"/>
  <c r="J107" i="7" a="1"/>
  <c r="J107" i="7" s="1"/>
  <c r="K107" i="7" s="1"/>
  <c r="J109" i="7" a="1"/>
  <c r="J109" i="7" s="1"/>
  <c r="K109" i="7" s="1"/>
  <c r="J111" i="7" a="1"/>
  <c r="J111" i="7" s="1"/>
  <c r="K111" i="7" s="1"/>
  <c r="J112" i="7" a="1"/>
  <c r="J112" i="7" s="1"/>
  <c r="K112" i="7" s="1"/>
  <c r="J114" i="7" a="1"/>
  <c r="J114" i="7" s="1"/>
  <c r="K114" i="7" s="1"/>
  <c r="J116" i="7" a="1"/>
  <c r="J116" i="7" s="1"/>
  <c r="K116" i="7" s="1"/>
  <c r="J118" i="7" a="1"/>
  <c r="J118" i="7" s="1"/>
  <c r="K118" i="7" s="1"/>
  <c r="J120" i="7" a="1"/>
  <c r="J120" i="7" s="1"/>
  <c r="K120" i="7" s="1"/>
  <c r="J122" i="7" a="1"/>
  <c r="J122" i="7" s="1"/>
  <c r="K122" i="7" s="1"/>
  <c r="J124" i="7" a="1"/>
  <c r="J124" i="7" s="1"/>
  <c r="K124" i="7" s="1"/>
  <c r="J126" i="7" a="1"/>
  <c r="J126" i="7" s="1"/>
  <c r="K126" i="7" s="1"/>
  <c r="J128" i="7" a="1"/>
  <c r="J128" i="7" s="1"/>
  <c r="K128" i="7" s="1"/>
  <c r="J131" i="7" a="1"/>
  <c r="J131" i="7" s="1"/>
  <c r="K131" i="7" s="1"/>
  <c r="J133" i="7" a="1"/>
  <c r="J133" i="7" s="1"/>
  <c r="K133" i="7" s="1"/>
  <c r="J136" i="7" a="1"/>
  <c r="J136" i="7" s="1"/>
  <c r="K136" i="7" s="1"/>
  <c r="J138" i="7" a="1"/>
  <c r="J138" i="7" s="1"/>
  <c r="K138" i="7" s="1"/>
  <c r="J141" i="7" a="1"/>
  <c r="J141" i="7" s="1"/>
  <c r="K141" i="7" s="1"/>
  <c r="J143" i="7" a="1"/>
  <c r="J143" i="7" s="1"/>
  <c r="K143" i="7" s="1"/>
  <c r="J146" i="7" a="1"/>
  <c r="J146" i="7" s="1"/>
  <c r="K146" i="7" s="1"/>
  <c r="J148" i="7" a="1"/>
  <c r="J148" i="7" s="1"/>
  <c r="K148" i="7" s="1"/>
  <c r="J151" i="7" a="1"/>
  <c r="J151" i="7" s="1"/>
  <c r="K151" i="7" s="1"/>
  <c r="J153" i="7" a="1"/>
  <c r="J153" i="7" s="1"/>
  <c r="K153" i="7" s="1"/>
  <c r="J156" i="7" a="1"/>
  <c r="J156" i="7" s="1"/>
  <c r="K156" i="7" s="1"/>
  <c r="J159" i="7" a="1"/>
  <c r="J159" i="7" s="1"/>
  <c r="K159" i="7" s="1"/>
  <c r="J161" i="7" a="1"/>
  <c r="J161" i="7" s="1"/>
  <c r="K161" i="7" s="1"/>
  <c r="J164" i="7" a="1"/>
  <c r="J164" i="7" s="1"/>
  <c r="K164" i="7" s="1"/>
  <c r="J165" i="7" a="1"/>
  <c r="J165" i="7" s="1"/>
  <c r="K165" i="7" s="1"/>
  <c r="J168" i="7" a="1"/>
  <c r="J168" i="7" s="1"/>
  <c r="K168" i="7" s="1"/>
  <c r="J170" i="7" a="1"/>
  <c r="J170" i="7" s="1"/>
  <c r="K170" i="7" s="1"/>
  <c r="J173" i="7" a="1"/>
  <c r="J173" i="7" s="1"/>
  <c r="K173" i="7" s="1"/>
  <c r="J175" i="7" a="1"/>
  <c r="J175" i="7" s="1"/>
  <c r="K175" i="7" s="1"/>
  <c r="J178" i="7" a="1"/>
  <c r="J178" i="7" s="1"/>
  <c r="K178" i="7" s="1"/>
  <c r="J179" i="7" a="1"/>
  <c r="J179" i="7" s="1"/>
  <c r="K179" i="7" s="1"/>
  <c r="J181" i="7" a="1"/>
  <c r="J181" i="7" s="1"/>
  <c r="K181" i="7" s="1"/>
  <c r="J184" i="7" a="1"/>
  <c r="J184" i="7" s="1"/>
  <c r="K184" i="7" s="1"/>
  <c r="J186" i="7" a="1"/>
  <c r="J186" i="7" s="1"/>
  <c r="K186" i="7" s="1"/>
  <c r="J188" i="7" a="1"/>
  <c r="J188" i="7" s="1"/>
  <c r="K188" i="7" s="1"/>
  <c r="J191" i="7" a="1"/>
  <c r="J191" i="7" s="1"/>
  <c r="K191" i="7" s="1"/>
  <c r="J200" i="7" a="1"/>
  <c r="J200" i="7" s="1"/>
  <c r="K200" i="7" s="1"/>
  <c r="J203" i="7" a="1"/>
  <c r="J203" i="7" s="1"/>
  <c r="K203" i="7" s="1"/>
  <c r="J206" i="7" a="1"/>
  <c r="J206" i="7" s="1"/>
  <c r="K206" i="7" s="1"/>
  <c r="J208" i="7" a="1"/>
  <c r="J208" i="7" s="1"/>
  <c r="K208" i="7" s="1"/>
  <c r="J211" i="7" a="1"/>
  <c r="J211" i="7" s="1"/>
  <c r="K211" i="7" s="1"/>
  <c r="J214" i="7" a="1"/>
  <c r="J214" i="7" s="1"/>
  <c r="K214" i="7" s="1"/>
  <c r="J216" i="7" a="1"/>
  <c r="J216" i="7" s="1"/>
  <c r="K216" i="7" s="1"/>
  <c r="J219" i="7" a="1"/>
  <c r="J219" i="7" s="1"/>
  <c r="K219" i="7" s="1"/>
  <c r="J221" i="7" a="1"/>
  <c r="J221" i="7" s="1"/>
  <c r="K221" i="7" s="1"/>
  <c r="J225" i="7" a="1"/>
  <c r="J225" i="7" s="1"/>
  <c r="K225" i="7" s="1"/>
  <c r="J227" i="7" a="1"/>
  <c r="J227" i="7" s="1"/>
  <c r="K227" i="7" s="1"/>
  <c r="J229" i="7" a="1"/>
  <c r="J229" i="7" s="1"/>
  <c r="K229" i="7" s="1"/>
  <c r="J232" i="7" a="1"/>
  <c r="J232" i="7" s="1"/>
  <c r="K232" i="7" s="1"/>
  <c r="J234" i="7" a="1"/>
  <c r="J234" i="7" s="1"/>
  <c r="K234" i="7" s="1"/>
  <c r="J237" i="7" a="1"/>
  <c r="J237" i="7" s="1"/>
  <c r="K237" i="7" s="1"/>
  <c r="J239" i="7" a="1"/>
  <c r="J239" i="7" s="1"/>
  <c r="K239" i="7" s="1"/>
  <c r="J242" i="7" a="1"/>
  <c r="J242" i="7" s="1"/>
  <c r="K242" i="7" s="1"/>
  <c r="J243" i="7" a="1"/>
  <c r="J243" i="7" s="1"/>
  <c r="K243" i="7" s="1"/>
  <c r="J246" i="7" a="1"/>
  <c r="J246" i="7" s="1"/>
  <c r="K246" i="7" s="1"/>
  <c r="J247" i="7" a="1"/>
  <c r="J247" i="7" s="1"/>
  <c r="K247" i="7" s="1"/>
  <c r="J250" i="7" a="1"/>
  <c r="J250" i="7" s="1"/>
  <c r="K250" i="7" s="1"/>
  <c r="J602" i="7" a="1"/>
  <c r="J602" i="7" s="1"/>
  <c r="K602" i="7" s="1"/>
  <c r="J609" i="7" a="1"/>
  <c r="J609" i="7" s="1"/>
  <c r="K609" i="7" s="1"/>
  <c r="J615" i="7" a="1"/>
  <c r="J615" i="7" s="1"/>
  <c r="K615" i="7" s="1"/>
  <c r="J305" i="7" a="1"/>
  <c r="J305" i="7" s="1"/>
  <c r="K305" i="7" s="1"/>
  <c r="J321" i="7" a="1"/>
  <c r="J321" i="7" s="1"/>
  <c r="K321" i="7" s="1"/>
  <c r="J337" i="7" a="1"/>
  <c r="J337" i="7" s="1"/>
  <c r="K337" i="7" s="1"/>
  <c r="J346" i="7" a="1"/>
  <c r="J346" i="7" s="1"/>
  <c r="K346" i="7" s="1"/>
  <c r="J378" i="7" a="1"/>
  <c r="J378" i="7" s="1"/>
  <c r="K378" i="7" s="1"/>
  <c r="J379" i="7" a="1"/>
  <c r="J379" i="7" s="1"/>
  <c r="K379" i="7" s="1"/>
  <c r="J380" i="7" a="1"/>
  <c r="J380" i="7" s="1"/>
  <c r="K380" i="7" s="1"/>
  <c r="J382" i="7" a="1"/>
  <c r="J382" i="7" s="1"/>
  <c r="K382" i="7" s="1"/>
  <c r="J383" i="7" a="1"/>
  <c r="J383" i="7" s="1"/>
  <c r="K383" i="7" s="1"/>
  <c r="J386" i="7" a="1"/>
  <c r="J386" i="7" s="1"/>
  <c r="K386" i="7" s="1"/>
  <c r="J388" i="7" a="1"/>
  <c r="J388" i="7" s="1"/>
  <c r="K388" i="7" s="1"/>
  <c r="J391" i="7" a="1"/>
  <c r="J391" i="7" s="1"/>
  <c r="K391" i="7" s="1"/>
  <c r="J395" i="7" a="1"/>
  <c r="J395" i="7" s="1"/>
  <c r="K395" i="7" s="1"/>
  <c r="J399" i="7" a="1"/>
  <c r="J399" i="7" s="1"/>
  <c r="K399" i="7" s="1"/>
  <c r="J402" i="7" a="1"/>
  <c r="J402" i="7" s="1"/>
  <c r="K402" i="7" s="1"/>
  <c r="J406" i="7" a="1"/>
  <c r="J406" i="7" s="1"/>
  <c r="K406" i="7" s="1"/>
  <c r="J409" i="7" a="1"/>
  <c r="J409" i="7" s="1"/>
  <c r="K409" i="7" s="1"/>
  <c r="J413" i="7" a="1"/>
  <c r="J413" i="7" s="1"/>
  <c r="K413" i="7" s="1"/>
  <c r="J417" i="7" a="1"/>
  <c r="J417" i="7" s="1"/>
  <c r="K417" i="7" s="1"/>
  <c r="J421" i="7" a="1"/>
  <c r="J421" i="7" s="1"/>
  <c r="K421" i="7" s="1"/>
  <c r="J423" i="7" a="1"/>
  <c r="J423" i="7" s="1"/>
  <c r="K423" i="7" s="1"/>
  <c r="J470" i="7" a="1"/>
  <c r="J470" i="7" s="1"/>
  <c r="K470" i="7" s="1"/>
  <c r="J476" i="7" a="1"/>
  <c r="J476" i="7" s="1"/>
  <c r="K476" i="7" s="1"/>
  <c r="J480" i="7" a="1"/>
  <c r="J480" i="7" s="1"/>
  <c r="K480" i="7" s="1"/>
  <c r="J485" i="7" a="1"/>
  <c r="J485" i="7" s="1"/>
  <c r="K485" i="7" s="1"/>
  <c r="J489" i="7" a="1"/>
  <c r="J489" i="7" s="1"/>
  <c r="K489" i="7" s="1"/>
  <c r="J509" i="7" a="1"/>
  <c r="J509" i="7" s="1"/>
  <c r="K509" i="7" s="1"/>
  <c r="J599" i="7" a="1"/>
  <c r="J599" i="7" s="1"/>
  <c r="K599" i="7" s="1"/>
  <c r="J622" i="7" a="1"/>
  <c r="J622" i="7" s="1"/>
  <c r="K622" i="7" s="1"/>
  <c r="J307" i="7" a="1"/>
  <c r="J307" i="7" s="1"/>
  <c r="K307" i="7" s="1"/>
  <c r="J316" i="7" a="1"/>
  <c r="J316" i="7" s="1"/>
  <c r="K316" i="7" s="1"/>
  <c r="J333" i="7" a="1"/>
  <c r="J333" i="7" s="1"/>
  <c r="K333" i="7" s="1"/>
  <c r="J251" i="7" a="1"/>
  <c r="J251" i="7" s="1"/>
  <c r="K251" i="7" s="1"/>
  <c r="J256" i="7" a="1"/>
  <c r="J256" i="7" s="1"/>
  <c r="K256" i="7" s="1"/>
  <c r="J258" i="7" a="1"/>
  <c r="J258" i="7" s="1"/>
  <c r="K258" i="7" s="1"/>
  <c r="J261" i="7" a="1"/>
  <c r="J261" i="7" s="1"/>
  <c r="K261" i="7" s="1"/>
  <c r="J264" i="7" a="1"/>
  <c r="J264" i="7" s="1"/>
  <c r="K264" i="7" s="1"/>
  <c r="J266" i="7" a="1"/>
  <c r="J266" i="7" s="1"/>
  <c r="K266" i="7" s="1"/>
  <c r="J269" i="7" a="1"/>
  <c r="J269" i="7" s="1"/>
  <c r="K269" i="7" s="1"/>
  <c r="J273" i="7" a="1"/>
  <c r="J273" i="7" s="1"/>
  <c r="K273" i="7" s="1"/>
  <c r="J275" i="7" a="1"/>
  <c r="J275" i="7" s="1"/>
  <c r="K275" i="7" s="1"/>
  <c r="J279" i="7" a="1"/>
  <c r="J279" i="7" s="1"/>
  <c r="K279" i="7" s="1"/>
  <c r="J282" i="7" a="1"/>
  <c r="J282" i="7" s="1"/>
  <c r="K282" i="7" s="1"/>
  <c r="J284" i="7" a="1"/>
  <c r="J284" i="7" s="1"/>
  <c r="K284" i="7" s="1"/>
  <c r="J288" i="7" a="1"/>
  <c r="J288" i="7" s="1"/>
  <c r="K288" i="7" s="1"/>
  <c r="J290" i="7" a="1"/>
  <c r="J290" i="7" s="1"/>
  <c r="K290" i="7" s="1"/>
  <c r="J293" i="7" a="1"/>
  <c r="J293" i="7" s="1"/>
  <c r="K293" i="7" s="1"/>
  <c r="J296" i="7" a="1"/>
  <c r="J296" i="7" s="1"/>
  <c r="K296" i="7" s="1"/>
  <c r="J299" i="7" a="1"/>
  <c r="J299" i="7" s="1"/>
  <c r="K299" i="7" s="1"/>
  <c r="J303" i="7" a="1"/>
  <c r="J303" i="7" s="1"/>
  <c r="K303" i="7" s="1"/>
  <c r="J306" i="7" a="1"/>
  <c r="J306" i="7" s="1"/>
  <c r="K306" i="7" s="1"/>
  <c r="J308" i="7" a="1"/>
  <c r="J308" i="7" s="1"/>
  <c r="K308" i="7" s="1"/>
  <c r="J312" i="7" a="1"/>
  <c r="J312" i="7" s="1"/>
  <c r="K312" i="7" s="1"/>
  <c r="J314" i="7" a="1"/>
  <c r="J314" i="7" s="1"/>
  <c r="K314" i="7" s="1"/>
  <c r="J317" i="7" a="1"/>
  <c r="J317" i="7" s="1"/>
  <c r="K317" i="7" s="1"/>
  <c r="J320" i="7" a="1"/>
  <c r="J320" i="7" s="1"/>
  <c r="K320" i="7" s="1"/>
  <c r="J323" i="7" a="1"/>
  <c r="J323" i="7" s="1"/>
  <c r="K323" i="7" s="1"/>
  <c r="J326" i="7" a="1"/>
  <c r="J326" i="7" s="1"/>
  <c r="K326" i="7" s="1"/>
  <c r="J330" i="7" a="1"/>
  <c r="J330" i="7" s="1"/>
  <c r="K330" i="7" s="1"/>
  <c r="J332" i="7" a="1"/>
  <c r="J332" i="7" s="1"/>
  <c r="K332" i="7" s="1"/>
  <c r="J335" i="7" a="1"/>
  <c r="J335" i="7" s="1"/>
  <c r="K335" i="7" s="1"/>
  <c r="J338" i="7" a="1"/>
  <c r="J338" i="7" s="1"/>
  <c r="K338" i="7" s="1"/>
  <c r="J342" i="7" a="1"/>
  <c r="J342" i="7" s="1"/>
  <c r="K342" i="7" s="1"/>
  <c r="J344" i="7" a="1"/>
  <c r="J344" i="7" s="1"/>
  <c r="K344" i="7" s="1"/>
  <c r="J349" i="7" a="1"/>
  <c r="J349" i="7" s="1"/>
  <c r="K349" i="7" s="1"/>
  <c r="J351" i="7" a="1"/>
  <c r="J351" i="7" s="1"/>
  <c r="K351" i="7" s="1"/>
  <c r="J354" i="7" a="1"/>
  <c r="J354" i="7" s="1"/>
  <c r="K354" i="7" s="1"/>
  <c r="J357" i="7" a="1"/>
  <c r="J357" i="7" s="1"/>
  <c r="K357" i="7" s="1"/>
  <c r="J360" i="7" a="1"/>
  <c r="J360" i="7" s="1"/>
  <c r="K360" i="7" s="1"/>
  <c r="J363" i="7" a="1"/>
  <c r="J363" i="7" s="1"/>
  <c r="K363" i="7" s="1"/>
  <c r="J366" i="7" a="1"/>
  <c r="J366" i="7" s="1"/>
  <c r="K366" i="7" s="1"/>
  <c r="J369" i="7" a="1"/>
  <c r="J369" i="7" s="1"/>
  <c r="K369" i="7" s="1"/>
  <c r="J372" i="7" a="1"/>
  <c r="J372" i="7" s="1"/>
  <c r="K372" i="7" s="1"/>
  <c r="J374" i="7" a="1"/>
  <c r="J374" i="7" s="1"/>
  <c r="K374" i="7" s="1"/>
  <c r="J490" i="7" a="1"/>
  <c r="J490" i="7" s="1"/>
  <c r="K490" i="7" s="1"/>
  <c r="J492" i="7" a="1"/>
  <c r="J492" i="7" s="1"/>
  <c r="K492" i="7" s="1"/>
  <c r="J497" i="7" a="1"/>
  <c r="J497" i="7" s="1"/>
  <c r="K497" i="7" s="1"/>
  <c r="J502" i="7" a="1"/>
  <c r="J502" i="7" s="1"/>
  <c r="K502" i="7" s="1"/>
  <c r="J505" i="7" a="1"/>
  <c r="J505" i="7" s="1"/>
  <c r="K505" i="7" s="1"/>
  <c r="J510" i="7" a="1"/>
  <c r="J510" i="7" s="1"/>
  <c r="K510" i="7" s="1"/>
  <c r="J514" i="7" a="1"/>
  <c r="J514" i="7" s="1"/>
  <c r="K514" i="7" s="1"/>
  <c r="J517" i="7" a="1"/>
  <c r="J517" i="7" s="1"/>
  <c r="K517" i="7" s="1"/>
  <c r="J522" i="7" a="1"/>
  <c r="J522" i="7" s="1"/>
  <c r="K522" i="7" s="1"/>
  <c r="J584" i="7" a="1"/>
  <c r="J584" i="7" s="1"/>
  <c r="K584" i="7" s="1"/>
  <c r="J588" i="7" a="1"/>
  <c r="J588" i="7" s="1"/>
  <c r="K588" i="7" s="1"/>
  <c r="J52" i="7" a="1"/>
  <c r="J52" i="7" s="1"/>
  <c r="K52" i="7" s="1"/>
  <c r="J55" i="7" a="1"/>
  <c r="J55" i="7" s="1"/>
  <c r="K55" i="7" s="1"/>
  <c r="J56" i="7" a="1"/>
  <c r="J56" i="7" s="1"/>
  <c r="K56" i="7" s="1"/>
  <c r="J57" i="7" a="1"/>
  <c r="J57" i="7" s="1"/>
  <c r="K57" i="7" s="1"/>
  <c r="J58" i="7" a="1"/>
  <c r="J58" i="7" s="1"/>
  <c r="K58" i="7" s="1"/>
  <c r="J61" i="7" a="1"/>
  <c r="J61" i="7" s="1"/>
  <c r="K61" i="7" s="1"/>
  <c r="J64" i="7" a="1"/>
  <c r="J64" i="7" s="1"/>
  <c r="K64" i="7" s="1"/>
  <c r="J65" i="7" a="1"/>
  <c r="J65" i="7" s="1"/>
  <c r="K65" i="7" s="1"/>
  <c r="J68" i="7" a="1"/>
  <c r="J68" i="7" s="1"/>
  <c r="K68" i="7" s="1"/>
  <c r="J70" i="7" a="1"/>
  <c r="J70" i="7" s="1"/>
  <c r="K70" i="7" s="1"/>
  <c r="J72" i="7" a="1"/>
  <c r="J72" i="7" s="1"/>
  <c r="K72" i="7" s="1"/>
  <c r="J74" i="7" a="1"/>
  <c r="J74" i="7" s="1"/>
  <c r="K74" i="7" s="1"/>
  <c r="J75" i="7" a="1"/>
  <c r="J75" i="7" s="1"/>
  <c r="K75" i="7" s="1"/>
  <c r="J78" i="7" a="1"/>
  <c r="J78" i="7" s="1"/>
  <c r="K78" i="7" s="1"/>
  <c r="J81" i="7" a="1"/>
  <c r="J81" i="7" s="1"/>
  <c r="K81" i="7" s="1"/>
  <c r="J83" i="7" a="1"/>
  <c r="J83" i="7" s="1"/>
  <c r="K83" i="7" s="1"/>
  <c r="J85" i="7" a="1"/>
  <c r="J85" i="7" s="1"/>
  <c r="K85" i="7" s="1"/>
  <c r="J86" i="7" a="1"/>
  <c r="J86" i="7" s="1"/>
  <c r="K86" i="7" s="1"/>
  <c r="J591" i="7" a="1"/>
  <c r="J591" i="7" s="1"/>
  <c r="K591" i="7" s="1"/>
  <c r="J595" i="7" a="1"/>
  <c r="J595" i="7" s="1"/>
  <c r="K595" i="7" s="1"/>
  <c r="J596" i="7" a="1"/>
  <c r="J596" i="7" s="1"/>
  <c r="K596" i="7" s="1"/>
  <c r="J605" i="7" a="1"/>
  <c r="J605" i="7" s="1"/>
  <c r="K605" i="7" s="1"/>
  <c r="J613" i="7" a="1"/>
  <c r="J613" i="7" s="1"/>
  <c r="K613" i="7" s="1"/>
  <c r="J315" i="7" a="1"/>
  <c r="J315" i="7" s="1"/>
  <c r="K315" i="7" s="1"/>
  <c r="J331" i="7" a="1"/>
  <c r="J331" i="7" s="1"/>
  <c r="K331" i="7" s="1"/>
  <c r="J350" i="7" a="1"/>
  <c r="J350" i="7" s="1"/>
  <c r="K350" i="7" s="1"/>
  <c r="J361" i="7" a="1"/>
  <c r="J361" i="7" s="1"/>
  <c r="K361" i="7" s="1"/>
  <c r="J371" i="7" a="1"/>
  <c r="J371" i="7" s="1"/>
  <c r="K371" i="7" s="1"/>
  <c r="J507" i="7" a="1"/>
  <c r="J507" i="7" s="1"/>
  <c r="K507" i="7" s="1"/>
  <c r="J523" i="7" a="1"/>
  <c r="J523" i="7" s="1"/>
  <c r="K523" i="7" s="1"/>
  <c r="J604" i="7" a="1"/>
  <c r="J604" i="7" s="1"/>
  <c r="K604" i="7" s="1"/>
  <c r="J619" i="7" a="1"/>
  <c r="J619" i="7" s="1"/>
  <c r="K619" i="7" s="1"/>
  <c r="J376" i="7" a="1"/>
  <c r="J376" i="7" s="1"/>
  <c r="K376" i="7" s="1"/>
  <c r="J381" i="7" a="1"/>
  <c r="J381" i="7" s="1"/>
  <c r="K381" i="7" s="1"/>
  <c r="J384" i="7" a="1"/>
  <c r="J384" i="7" s="1"/>
  <c r="K384" i="7" s="1"/>
  <c r="J387" i="7" a="1"/>
  <c r="J387" i="7" s="1"/>
  <c r="K387" i="7" s="1"/>
  <c r="J390" i="7" a="1"/>
  <c r="J390" i="7" s="1"/>
  <c r="K390" i="7" s="1"/>
  <c r="J394" i="7" a="1"/>
  <c r="J394" i="7" s="1"/>
  <c r="K394" i="7" s="1"/>
  <c r="J398" i="7" a="1"/>
  <c r="J398" i="7" s="1"/>
  <c r="K398" i="7" s="1"/>
  <c r="J403" i="7" a="1"/>
  <c r="J403" i="7" s="1"/>
  <c r="K403" i="7" s="1"/>
  <c r="J410" i="7" a="1"/>
  <c r="J410" i="7" s="1"/>
  <c r="K410" i="7" s="1"/>
  <c r="J414" i="7" a="1"/>
  <c r="J414" i="7" s="1"/>
  <c r="K414" i="7" s="1"/>
  <c r="J418" i="7" a="1"/>
  <c r="J418" i="7" s="1"/>
  <c r="K418" i="7" s="1"/>
  <c r="J422" i="7" a="1"/>
  <c r="J422" i="7" s="1"/>
  <c r="K422" i="7" s="1"/>
  <c r="J426" i="7" a="1"/>
  <c r="J426" i="7" s="1"/>
  <c r="K426" i="7" s="1"/>
  <c r="J427" i="7" a="1"/>
  <c r="J427" i="7" s="1"/>
  <c r="K427" i="7" s="1"/>
  <c r="J428" i="7" a="1"/>
  <c r="J428" i="7" s="1"/>
  <c r="K428" i="7" s="1"/>
  <c r="J429" i="7" a="1"/>
  <c r="J429" i="7" s="1"/>
  <c r="K429" i="7" s="1"/>
  <c r="J430" i="7" a="1"/>
  <c r="J430" i="7" s="1"/>
  <c r="K430" i="7" s="1"/>
  <c r="J431" i="7" a="1"/>
  <c r="J431" i="7" s="1"/>
  <c r="K431" i="7" s="1"/>
  <c r="J432" i="7" a="1"/>
  <c r="J432" i="7" s="1"/>
  <c r="K432" i="7" s="1"/>
  <c r="J433" i="7" a="1"/>
  <c r="J433" i="7" s="1"/>
  <c r="K433" i="7" s="1"/>
  <c r="J435" i="7" a="1"/>
  <c r="J435" i="7" s="1"/>
  <c r="K435" i="7" s="1"/>
  <c r="J438" i="7" a="1"/>
  <c r="J438" i="7" s="1"/>
  <c r="K438" i="7" s="1"/>
  <c r="J440" i="7" a="1"/>
  <c r="J440" i="7" s="1"/>
  <c r="K440" i="7" s="1"/>
  <c r="J442" i="7" a="1"/>
  <c r="J442" i="7" s="1"/>
  <c r="K442" i="7" s="1"/>
  <c r="J444" i="7" a="1"/>
  <c r="J444" i="7" s="1"/>
  <c r="K444" i="7" s="1"/>
  <c r="J447" i="7" a="1"/>
  <c r="J447" i="7" s="1"/>
  <c r="K447" i="7" s="1"/>
  <c r="J450" i="7" a="1"/>
  <c r="J450" i="7" s="1"/>
  <c r="K450" i="7" s="1"/>
  <c r="J453" i="7" a="1"/>
  <c r="J453" i="7" s="1"/>
  <c r="K453" i="7" s="1"/>
  <c r="J457" i="7" a="1"/>
  <c r="J457" i="7" s="1"/>
  <c r="K457" i="7" s="1"/>
  <c r="J461" i="7" a="1"/>
  <c r="J461" i="7" s="1"/>
  <c r="K461" i="7" s="1"/>
  <c r="J464" i="7" a="1"/>
  <c r="J464" i="7" s="1"/>
  <c r="K464" i="7" s="1"/>
  <c r="J467" i="7" a="1"/>
  <c r="J467" i="7" s="1"/>
  <c r="K467" i="7" s="1"/>
  <c r="J471" i="7" a="1"/>
  <c r="J471" i="7" s="1"/>
  <c r="K471" i="7" s="1"/>
  <c r="J474" i="7" a="1"/>
  <c r="J474" i="7" s="1"/>
  <c r="K474" i="7" s="1"/>
  <c r="J478" i="7" a="1"/>
  <c r="J478" i="7" s="1"/>
  <c r="K478" i="7" s="1"/>
  <c r="J482" i="7" a="1"/>
  <c r="J482" i="7" s="1"/>
  <c r="K482" i="7" s="1"/>
  <c r="J486" i="7" a="1"/>
  <c r="J486" i="7" s="1"/>
  <c r="K486" i="7" s="1"/>
  <c r="J493" i="7" a="1"/>
  <c r="J493" i="7" s="1"/>
  <c r="K493" i="7" s="1"/>
  <c r="J515" i="7" a="1"/>
  <c r="J515" i="7" s="1"/>
  <c r="K515" i="7" s="1"/>
  <c r="J606" i="7" a="1"/>
  <c r="J606" i="7" s="1"/>
  <c r="K606" i="7" s="1"/>
  <c r="J634" i="7" a="1"/>
  <c r="J634" i="7" s="1"/>
  <c r="K634" i="7" s="1"/>
  <c r="J313" i="7" a="1"/>
  <c r="J313" i="7" s="1"/>
  <c r="K313" i="7" s="1"/>
  <c r="J329" i="7" a="1"/>
  <c r="J329" i="7" s="1"/>
  <c r="K329" i="7" s="1"/>
  <c r="J345" i="7" a="1"/>
  <c r="J345" i="7" s="1"/>
  <c r="K345" i="7" s="1"/>
  <c r="J618" i="7" a="1"/>
  <c r="J618" i="7" s="1"/>
  <c r="K618" i="7" s="1"/>
  <c r="J620" i="7" a="1"/>
  <c r="J620" i="7" s="1"/>
  <c r="K620" i="7" s="1"/>
  <c r="J623" i="7" a="1"/>
  <c r="J623" i="7" s="1"/>
  <c r="K623" i="7" s="1"/>
  <c r="J626" i="7" a="1"/>
  <c r="J626" i="7" s="1"/>
  <c r="K626" i="7" s="1"/>
  <c r="J630" i="7" a="1"/>
  <c r="J630" i="7" s="1"/>
  <c r="K630" i="7" s="1"/>
  <c r="J635" i="7" a="1"/>
  <c r="J635" i="7" s="1"/>
  <c r="K635" i="7" s="1"/>
  <c r="J639" i="7" a="1"/>
  <c r="J639" i="7" s="1"/>
  <c r="K639" i="7" s="1"/>
  <c r="J97" i="7" a="1"/>
  <c r="J97" i="7" s="1"/>
  <c r="K97" i="7" s="1"/>
  <c r="J129" i="7" a="1"/>
  <c r="J129" i="7" s="1"/>
  <c r="K129" i="7" s="1"/>
  <c r="J134" i="7" a="1"/>
  <c r="J134" i="7" s="1"/>
  <c r="K134" i="7" s="1"/>
  <c r="J139" i="7" a="1"/>
  <c r="J139" i="7" s="1"/>
  <c r="K139" i="7" s="1"/>
  <c r="J144" i="7" a="1"/>
  <c r="J144" i="7" s="1"/>
  <c r="K144" i="7" s="1"/>
  <c r="J149" i="7" a="1"/>
  <c r="J149" i="7" s="1"/>
  <c r="K149" i="7" s="1"/>
  <c r="J154" i="7" a="1"/>
  <c r="J154" i="7" s="1"/>
  <c r="K154" i="7" s="1"/>
  <c r="J158" i="7" a="1"/>
  <c r="J158" i="7" s="1"/>
  <c r="K158" i="7" s="1"/>
  <c r="J162" i="7" a="1"/>
  <c r="J162" i="7" s="1"/>
  <c r="K162" i="7" s="1"/>
  <c r="J167" i="7" a="1"/>
  <c r="J167" i="7" s="1"/>
  <c r="K167" i="7" s="1"/>
  <c r="J172" i="7" a="1"/>
  <c r="J172" i="7" s="1"/>
  <c r="K172" i="7" s="1"/>
  <c r="J177" i="7" a="1"/>
  <c r="J177" i="7" s="1"/>
  <c r="K177" i="7" s="1"/>
  <c r="J182" i="7" a="1"/>
  <c r="J182" i="7" s="1"/>
  <c r="K182" i="7" s="1"/>
  <c r="J187" i="7" a="1"/>
  <c r="J187" i="7" s="1"/>
  <c r="K187" i="7" s="1"/>
  <c r="J192" i="7" a="1"/>
  <c r="J192" i="7" s="1"/>
  <c r="K192" i="7" s="1"/>
  <c r="J195" i="7" a="1"/>
  <c r="J195" i="7" s="1"/>
  <c r="K195" i="7" s="1"/>
  <c r="J198" i="7" a="1"/>
  <c r="J198" i="7" s="1"/>
  <c r="K198" i="7" s="1"/>
  <c r="J202" i="7" a="1"/>
  <c r="J202" i="7" s="1"/>
  <c r="K202" i="7" s="1"/>
  <c r="J210" i="7" a="1"/>
  <c r="J210" i="7" s="1"/>
  <c r="K210" i="7" s="1"/>
  <c r="J218" i="7" a="1"/>
  <c r="J218" i="7" s="1"/>
  <c r="K218" i="7" s="1"/>
  <c r="J222" i="7" a="1"/>
  <c r="J222" i="7" s="1"/>
  <c r="K222" i="7" s="1"/>
  <c r="J230" i="7" a="1"/>
  <c r="J230" i="7" s="1"/>
  <c r="K230" i="7" s="1"/>
  <c r="J235" i="7" a="1"/>
  <c r="J235" i="7" s="1"/>
  <c r="K235" i="7" s="1"/>
  <c r="J241" i="7" a="1"/>
  <c r="J241" i="7" s="1"/>
  <c r="K241" i="7" s="1"/>
  <c r="J244" i="7" a="1"/>
  <c r="J244" i="7" s="1"/>
  <c r="K244" i="7" s="1"/>
  <c r="J249" i="7" a="1"/>
  <c r="J249" i="7" s="1"/>
  <c r="K249" i="7" s="1"/>
  <c r="J254" i="7" a="1"/>
  <c r="J254" i="7" s="1"/>
  <c r="K254" i="7" s="1"/>
  <c r="J260" i="7" a="1"/>
  <c r="J260" i="7" s="1"/>
  <c r="K260" i="7" s="1"/>
  <c r="J270" i="7" a="1"/>
  <c r="J270" i="7" s="1"/>
  <c r="K270" i="7" s="1"/>
  <c r="J277" i="7" a="1"/>
  <c r="J277" i="7" s="1"/>
  <c r="K277" i="7" s="1"/>
  <c r="J286" i="7" a="1"/>
  <c r="J286" i="7" s="1"/>
  <c r="K286" i="7" s="1"/>
  <c r="J292" i="7" a="1"/>
  <c r="J292" i="7" s="1"/>
  <c r="K292" i="7" s="1"/>
  <c r="J298" i="7" a="1"/>
  <c r="J298" i="7" s="1"/>
  <c r="K298" i="7" s="1"/>
  <c r="J304" i="7" a="1"/>
  <c r="J304" i="7" s="1"/>
  <c r="K304" i="7" s="1"/>
  <c r="J311" i="7" a="1"/>
  <c r="J311" i="7" s="1"/>
  <c r="K311" i="7" s="1"/>
  <c r="J318" i="7" a="1"/>
  <c r="J318" i="7" s="1"/>
  <c r="K318" i="7" s="1"/>
  <c r="J324" i="7" a="1"/>
  <c r="J324" i="7" s="1"/>
  <c r="K324" i="7" s="1"/>
  <c r="J328" i="7" a="1"/>
  <c r="J328" i="7" s="1"/>
  <c r="K328" i="7" s="1"/>
  <c r="J334" i="7" a="1"/>
  <c r="J334" i="7" s="1"/>
  <c r="K334" i="7" s="1"/>
  <c r="J340" i="7" a="1"/>
  <c r="J340" i="7" s="1"/>
  <c r="K340" i="7" s="1"/>
  <c r="J347" i="7" a="1"/>
  <c r="J347" i="7" s="1"/>
  <c r="K347" i="7" s="1"/>
  <c r="J353" i="7" a="1"/>
  <c r="J353" i="7" s="1"/>
  <c r="K353" i="7" s="1"/>
  <c r="J359" i="7" a="1"/>
  <c r="J359" i="7" s="1"/>
  <c r="K359" i="7" s="1"/>
  <c r="J364" i="7" a="1"/>
  <c r="J364" i="7" s="1"/>
  <c r="K364" i="7" s="1"/>
  <c r="J370" i="7" a="1"/>
  <c r="J370" i="7" s="1"/>
  <c r="K370" i="7" s="1"/>
  <c r="J494" i="7" a="1"/>
  <c r="J494" i="7" s="1"/>
  <c r="K494" i="7" s="1"/>
  <c r="J499" i="7" a="1"/>
  <c r="J499" i="7" s="1"/>
  <c r="K499" i="7" s="1"/>
  <c r="J506" i="7" a="1"/>
  <c r="J506" i="7" s="1"/>
  <c r="K506" i="7" s="1"/>
  <c r="J512" i="7" a="1"/>
  <c r="J512" i="7" s="1"/>
  <c r="K512" i="7" s="1"/>
  <c r="J519" i="7" a="1"/>
  <c r="J519" i="7" s="1"/>
  <c r="K519" i="7" s="1"/>
  <c r="J586" i="7" a="1"/>
  <c r="J586" i="7" s="1"/>
  <c r="K586" i="7" s="1"/>
  <c r="J621" i="7" a="1"/>
  <c r="J621" i="7" s="1"/>
  <c r="K621" i="7" s="1"/>
  <c r="J631" i="7" a="1"/>
  <c r="J631" i="7" s="1"/>
  <c r="K631" i="7" s="1"/>
  <c r="J638" i="7" a="1"/>
  <c r="J638" i="7" s="1"/>
  <c r="K638" i="7" s="1"/>
  <c r="J212" i="7" a="1"/>
  <c r="J212" i="7" s="1"/>
  <c r="K212" i="7" s="1"/>
  <c r="J224" i="7" a="1"/>
  <c r="J224" i="7" s="1"/>
  <c r="K224" i="7" s="1"/>
  <c r="J233" i="7" a="1"/>
  <c r="J233" i="7" s="1"/>
  <c r="K233" i="7" s="1"/>
  <c r="J240" i="7" a="1"/>
  <c r="J240" i="7" s="1"/>
  <c r="K240" i="7" s="1"/>
  <c r="J245" i="7" a="1"/>
  <c r="J245" i="7" s="1"/>
  <c r="K245" i="7" s="1"/>
  <c r="J248" i="7" a="1"/>
  <c r="J248" i="7" s="1"/>
  <c r="K248" i="7" s="1"/>
  <c r="J253" i="7" a="1"/>
  <c r="J253" i="7" s="1"/>
  <c r="K253" i="7" s="1"/>
  <c r="J259" i="7" a="1"/>
  <c r="J259" i="7" s="1"/>
  <c r="K259" i="7" s="1"/>
  <c r="J263" i="7" a="1"/>
  <c r="J263" i="7" s="1"/>
  <c r="K263" i="7" s="1"/>
  <c r="J268" i="7" a="1"/>
  <c r="J268" i="7" s="1"/>
  <c r="K268" i="7" s="1"/>
  <c r="J272" i="7" a="1"/>
  <c r="J272" i="7" s="1"/>
  <c r="K272" i="7" s="1"/>
  <c r="J276" i="7" a="1"/>
  <c r="J276" i="7" s="1"/>
  <c r="K276" i="7" s="1"/>
  <c r="J281" i="7" a="1"/>
  <c r="J281" i="7" s="1"/>
  <c r="K281" i="7" s="1"/>
  <c r="J287" i="7" a="1"/>
  <c r="J287" i="7" s="1"/>
  <c r="K287" i="7" s="1"/>
  <c r="J294" i="7" a="1"/>
  <c r="J294" i="7" s="1"/>
  <c r="K294" i="7" s="1"/>
  <c r="J301" i="7" a="1"/>
  <c r="J301" i="7" s="1"/>
  <c r="K301" i="7" s="1"/>
  <c r="J325" i="7" a="1"/>
  <c r="J325" i="7" s="1"/>
  <c r="K325" i="7" s="1"/>
  <c r="J341" i="7" a="1"/>
  <c r="J341" i="7" s="1"/>
  <c r="K341" i="7" s="1"/>
  <c r="J356" i="7" a="1"/>
  <c r="J356" i="7" s="1"/>
  <c r="K356" i="7" s="1"/>
  <c r="J367" i="7" a="1"/>
  <c r="J367" i="7" s="1"/>
  <c r="K367" i="7" s="1"/>
  <c r="J500" i="7" a="1"/>
  <c r="J500" i="7" s="1"/>
  <c r="K500" i="7" s="1"/>
  <c r="J518" i="7" a="1"/>
  <c r="J518" i="7" s="1"/>
  <c r="K518" i="7" s="1"/>
  <c r="J597" i="7" a="1"/>
  <c r="J597" i="7" s="1"/>
  <c r="K597" i="7" s="1"/>
  <c r="J614" i="7" a="1"/>
  <c r="J614" i="7" s="1"/>
  <c r="K614" i="7" s="1"/>
  <c r="J636" i="7" a="1"/>
  <c r="J636" i="7" s="1"/>
  <c r="K636" i="7" s="1"/>
  <c r="J385" i="7" a="1"/>
  <c r="J385" i="7" s="1"/>
  <c r="K385" i="7" s="1"/>
  <c r="J389" i="7" a="1"/>
  <c r="J389" i="7" s="1"/>
  <c r="K389" i="7" s="1"/>
  <c r="J392" i="7" a="1"/>
  <c r="J392" i="7" s="1"/>
  <c r="K392" i="7" s="1"/>
  <c r="J396" i="7" a="1"/>
  <c r="J396" i="7" s="1"/>
  <c r="K396" i="7" s="1"/>
  <c r="J400" i="7" a="1"/>
  <c r="J400" i="7" s="1"/>
  <c r="K400" i="7" s="1"/>
  <c r="J404" i="7" a="1"/>
  <c r="J404" i="7" s="1"/>
  <c r="K404" i="7" s="1"/>
  <c r="J408" i="7" a="1"/>
  <c r="J408" i="7" s="1"/>
  <c r="K408" i="7" s="1"/>
  <c r="J411" i="7" a="1"/>
  <c r="J411" i="7" s="1"/>
  <c r="K411" i="7" s="1"/>
  <c r="J415" i="7" a="1"/>
  <c r="J415" i="7" s="1"/>
  <c r="K415" i="7" s="1"/>
  <c r="J419" i="7" a="1"/>
  <c r="J419" i="7" s="1"/>
  <c r="K419" i="7" s="1"/>
  <c r="J425" i="7" a="1"/>
  <c r="J425" i="7" s="1"/>
  <c r="K425" i="7" s="1"/>
  <c r="J434" i="7" a="1"/>
  <c r="J434" i="7" s="1"/>
  <c r="K434" i="7" s="1"/>
  <c r="J437" i="7" a="1"/>
  <c r="J437" i="7" s="1"/>
  <c r="K437" i="7" s="1"/>
  <c r="J439" i="7" a="1"/>
  <c r="J439" i="7" s="1"/>
  <c r="K439" i="7" s="1"/>
  <c r="J446" i="7" a="1"/>
  <c r="J446" i="7" s="1"/>
  <c r="K446" i="7" s="1"/>
  <c r="J449" i="7" a="1"/>
  <c r="J449" i="7" s="1"/>
  <c r="K449" i="7" s="1"/>
  <c r="J451" i="7" a="1"/>
  <c r="J451" i="7" s="1"/>
  <c r="K451" i="7" s="1"/>
  <c r="J454" i="7" a="1"/>
  <c r="J454" i="7" s="1"/>
  <c r="K454" i="7" s="1"/>
  <c r="J456" i="7" a="1"/>
  <c r="J456" i="7" s="1"/>
  <c r="K456" i="7" s="1"/>
  <c r="J459" i="7" a="1"/>
  <c r="J459" i="7" s="1"/>
  <c r="K459" i="7" s="1"/>
  <c r="J462" i="7" a="1"/>
  <c r="J462" i="7" s="1"/>
  <c r="K462" i="7" s="1"/>
  <c r="J465" i="7" a="1"/>
  <c r="J465" i="7" s="1"/>
  <c r="K465" i="7" s="1"/>
  <c r="J469" i="7" a="1"/>
  <c r="J469" i="7" s="1"/>
  <c r="K469" i="7" s="1"/>
  <c r="J472" i="7" a="1"/>
  <c r="J472" i="7" s="1"/>
  <c r="K472" i="7" s="1"/>
  <c r="J475" i="7" a="1"/>
  <c r="J475" i="7" s="1"/>
  <c r="K475" i="7" s="1"/>
  <c r="J479" i="7" a="1"/>
  <c r="J479" i="7" s="1"/>
  <c r="K479" i="7" s="1"/>
  <c r="J483" i="7" a="1"/>
  <c r="J483" i="7" s="1"/>
  <c r="K483" i="7" s="1"/>
  <c r="J488" i="7" a="1"/>
  <c r="J488" i="7" s="1"/>
  <c r="K488" i="7" s="1"/>
  <c r="J503" i="7" a="1"/>
  <c r="J503" i="7" s="1"/>
  <c r="K503" i="7" s="1"/>
  <c r="J590" i="7" a="1"/>
  <c r="J590" i="7" s="1"/>
  <c r="K590" i="7" s="1"/>
  <c r="J617" i="7" a="1"/>
  <c r="J617" i="7" s="1"/>
  <c r="K617" i="7" s="1"/>
  <c r="J641" i="7" a="1"/>
  <c r="J641" i="7" s="1"/>
  <c r="K641" i="7" s="1"/>
  <c r="J322" i="7" a="1"/>
  <c r="J322" i="7" s="1"/>
  <c r="K322" i="7" s="1"/>
  <c r="J339" i="7" a="1"/>
  <c r="J339" i="7" s="1"/>
  <c r="K339" i="7" s="1"/>
  <c r="J309" i="7" a="1"/>
  <c r="J309" i="7" s="1"/>
  <c r="K309" i="7" s="1"/>
  <c r="K13" i="7"/>
  <c r="N7" i="3" s="1"/>
  <c r="M7" i="3"/>
  <c r="K14" i="7"/>
  <c r="N8" i="3" s="1"/>
  <c r="M8" i="3"/>
  <c r="M9" i="3"/>
  <c r="K15" i="7"/>
  <c r="N9" i="3" s="1"/>
  <c r="K16" i="7"/>
  <c r="N10" i="3" s="1"/>
  <c r="M10" i="3"/>
  <c r="Q5" i="7" l="1"/>
  <c r="J12" i="7" a="1"/>
  <c r="J12" i="7" s="1"/>
  <c r="M6" i="3" l="1"/>
  <c r="K12" i="7"/>
  <c r="Q6" i="7"/>
  <c r="N4" i="7" l="1" a="1"/>
  <c r="N4" i="7" s="1"/>
  <c r="Q8" i="7"/>
  <c r="Q7" i="7"/>
  <c r="N6" i="3"/>
  <c r="N13" i="3" l="1"/>
  <c r="N5" i="7"/>
  <c r="N14" i="3" s="1"/>
  <c r="B14" i="2"/>
  <c r="C1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<sst xmlns="http://schemas.openxmlformats.org/spreadsheetml/2006/main" count="3598" uniqueCount="2360">
  <si>
    <t>📊 Mi App de Portafolio</t>
  </si>
  <si>
    <t>Tu centro de control de inversiones · Toca un botón para navegar</t>
  </si>
  <si>
    <t>🧭 MENÚ DE NAVEGACIÓN</t>
  </si>
  <si>
    <t>💰 COMPOSICIÓN DEL PORTAFOLIO</t>
  </si>
  <si>
    <t>🔒 Row ID</t>
  </si>
  <si>
    <t>📊 RESUMEN EN VIVO</t>
  </si>
  <si>
    <t>k7RnF8aIQECi5roBy1Q3Bw</t>
  </si>
  <si>
    <t>💰 Valor del Portafolio</t>
  </si>
  <si>
    <t>ZQ1qW9OCSoaoqT6VmX9GGg</t>
  </si>
  <si>
    <t>💵 Total Invertido</t>
  </si>
  <si>
    <t>eYJe97t-TvihFQcQRaFW2w</t>
  </si>
  <si>
    <t>📈 Ganancia Total</t>
  </si>
  <si>
    <t>QJm4T.PfQr6BE9gFQBKAAA</t>
  </si>
  <si>
    <t>📊 Rendimiento %</t>
  </si>
  <si>
    <t>K3clDgB9T1GpN4w2914AXw</t>
  </si>
  <si>
    <t>🏠 Inicio</t>
  </si>
  <si>
    <t>📈 Portafolio</t>
  </si>
  <si>
    <t>📊 Dashboard</t>
  </si>
  <si>
    <t>📉 Historial</t>
  </si>
  <si>
    <t>🗃️ Base de Datos</t>
  </si>
  <si>
    <t>📊 Gráficos</t>
  </si>
  <si>
    <t>🧩 HHI Real</t>
  </si>
  <si>
    <t>📈 Mi Portafolio de Inversión</t>
  </si>
  <si>
    <t>Acción</t>
  </si>
  <si>
    <t>Precio medio compra</t>
  </si>
  <si>
    <t>Precio actual</t>
  </si>
  <si>
    <t>Cantidad</t>
  </si>
  <si>
    <t>Valor mercado</t>
  </si>
  <si>
    <t>Invertido</t>
  </si>
  <si>
    <t>Ganancia total</t>
  </si>
  <si>
    <t>Rendimiento %</t>
  </si>
  <si>
    <t>Peso Objetivo</t>
  </si>
  <si>
    <t>Peso actual</t>
  </si>
  <si>
    <t>Desviación</t>
  </si>
  <si>
    <t>Cambio (%)</t>
  </si>
  <si>
    <t>Activo</t>
  </si>
  <si>
    <t>Peso Actual</t>
  </si>
  <si>
    <t>SPYM</t>
  </si>
  <si>
    <t>SCHD</t>
  </si>
  <si>
    <t>SCHG</t>
  </si>
  <si>
    <t>Total</t>
  </si>
  <si>
    <t>📊 Indicadores Avanzados</t>
  </si>
  <si>
    <t>Indicador</t>
  </si>
  <si>
    <t>Valor</t>
  </si>
  <si>
    <t>Estado</t>
  </si>
  <si>
    <t>Índice de Concentración (HHI)</t>
  </si>
  <si>
    <t>Índice de Concentración (HHI) Real</t>
  </si>
  <si>
    <t>Mayor Desviación del Objetivo</t>
  </si>
  <si>
    <t xml:space="preserve"> </t>
  </si>
  <si>
    <t>Activo con Mayor Peso</t>
  </si>
  <si>
    <t>Ganancia Promedio por Activo</t>
  </si>
  <si>
    <t>Días Invertido</t>
  </si>
  <si>
    <t>📅 Desde primera compra</t>
  </si>
  <si>
    <t>Rendimiento Anualizado</t>
  </si>
  <si>
    <t>📈 Proyección a 1 año</t>
  </si>
  <si>
    <t>Spread de Rendimiento</t>
  </si>
  <si>
    <t>📊 Dispersión entre activos</t>
  </si>
  <si>
    <t>Alpha vs S&amp;P 500</t>
  </si>
  <si>
    <t>Rendimiento por Día Promedio</t>
  </si>
  <si>
    <t>💵 Ganancia diaria promedio</t>
  </si>
  <si>
    <t>Mejor Compra</t>
  </si>
  <si>
    <t>Próximo Hito ($600)</t>
  </si>
  <si>
    <t>💰 Composición del Portafolio</t>
  </si>
  <si>
    <t>Concepto</t>
  </si>
  <si>
    <t>Monto</t>
  </si>
  <si>
    <t>% del Total</t>
  </si>
  <si>
    <t>💵 Aportaciones</t>
  </si>
  <si>
    <t>📈 Ganancia</t>
  </si>
  <si>
    <t>🚦 Alertas Accionables</t>
  </si>
  <si>
    <t>Acción Recomendada</t>
  </si>
  <si>
    <t>📊 Indicadores Clave</t>
  </si>
  <si>
    <t>🔄 Rebalanceo por Aportación</t>
  </si>
  <si>
    <t>💰 Resumen de Dividendos</t>
  </si>
  <si>
    <t>Datos</t>
  </si>
  <si>
    <t>Monto Ideal</t>
  </si>
  <si>
    <t>Monto Actual</t>
  </si>
  <si>
    <t>Déficit</t>
  </si>
  <si>
    <t>Asignación</t>
  </si>
  <si>
    <t>Unidades a Comprar</t>
  </si>
  <si>
    <t>🕐 Última Actualización</t>
  </si>
  <si>
    <t>🏆 Top 5 Holdings Reales</t>
  </si>
  <si>
    <t>Valor total del portafolio</t>
  </si>
  <si>
    <t>Ticker</t>
  </si>
  <si>
    <t>Peso %</t>
  </si>
  <si>
    <t>📊 Total Dividendos</t>
  </si>
  <si>
    <t>Total invertido</t>
  </si>
  <si>
    <t>📋 # Dividendos</t>
  </si>
  <si>
    <t>🎯 Próxima Meta</t>
  </si>
  <si>
    <t>💵 SPYM</t>
  </si>
  <si>
    <t>Meta:</t>
  </si>
  <si>
    <t>💵 SCHD</t>
  </si>
  <si>
    <t>Mejor activo</t>
  </si>
  <si>
    <t>📝 La asignación prioriza activos sub-ponderados (déficit positivo) para rebalancear</t>
  </si>
  <si>
    <t>Faltan:</t>
  </si>
  <si>
    <t>💵 SCHG</t>
  </si>
  <si>
    <t>Peor activo</t>
  </si>
  <si>
    <t>⚠️ Alerta Rebalanceo:</t>
  </si>
  <si>
    <t>Progreso:</t>
  </si>
  <si>
    <t>📈 Promedio/Div</t>
  </si>
  <si>
    <t>Activo mas Grande</t>
  </si>
  <si>
    <t>📅 Proyección de Meta</t>
  </si>
  <si>
    <t>Peso Activo mas Grande</t>
  </si>
  <si>
    <t>📊 Distribución: Actual vs Objetivo</t>
  </si>
  <si>
    <t>Ganancia/Día:</t>
  </si>
  <si>
    <t>📊 Nivel Diversificación</t>
  </si>
  <si>
    <t>📈 Yield Estimado</t>
  </si>
  <si>
    <t>Anual</t>
  </si>
  <si>
    <t>Días para Meta:</t>
  </si>
  <si>
    <t>HHI Real:</t>
  </si>
  <si>
    <t>Yield Anual:</t>
  </si>
  <si>
    <t>🔄APORTACION</t>
  </si>
  <si>
    <t>Fecha Estimada:</t>
  </si>
  <si>
    <t>Estado:</t>
  </si>
  <si>
    <t>Yield %:</t>
  </si>
  <si>
    <t>Apotacion del Periodo</t>
  </si>
  <si>
    <t>Compras:</t>
  </si>
  <si>
    <t>📱 Inversión por App</t>
  </si>
  <si>
    <t>App</t>
  </si>
  <si>
    <t>Rendimiento del S&amp;P 500 YTD</t>
  </si>
  <si>
    <t>YTD%</t>
  </si>
  <si>
    <t>Fintual</t>
  </si>
  <si>
    <t>S&amp;P500</t>
  </si>
  <si>
    <t>Webull</t>
  </si>
  <si>
    <t>Portafolio</t>
  </si>
  <si>
    <t>Diferencia vs Benchmark</t>
  </si>
  <si>
    <t>📝 Notas de</t>
  </si>
  <si>
    <t>Inversión</t>
  </si>
  <si>
    <t>Actual</t>
  </si>
  <si>
    <t>Fecha</t>
  </si>
  <si>
    <t>Nota/Comentario</t>
  </si>
  <si>
    <t>Meta</t>
  </si>
  <si>
    <t>Libro de portafolio completado</t>
  </si>
  <si>
    <t>📊 Gráficos del Dashboard</t>
  </si>
  <si>
    <t>Visualizaciones actualizadas automáticamente</t>
  </si>
  <si>
    <t>📝 Los gráficos se actualizan automáticamente con los datos del Dashboard, Portafolio y Base de Datos</t>
  </si>
  <si>
    <t>🕐 Última actualización:</t>
  </si>
  <si>
    <t>📒Registro de Operaciones</t>
  </si>
  <si>
    <t>📊 Tabla de Precios</t>
  </si>
  <si>
    <t>jd20HlbKRIKH3P39exdU2g</t>
  </si>
  <si>
    <t>Precio Actual</t>
  </si>
  <si>
    <t>Precio Inicio Año</t>
  </si>
  <si>
    <t>5Y%</t>
  </si>
  <si>
    <t>10Y%</t>
  </si>
  <si>
    <t>Cotización</t>
  </si>
  <si>
    <t>qeFzIQLzTgycZpX.942BMw</t>
  </si>
  <si>
    <t>ID</t>
  </si>
  <si>
    <t>Tipo</t>
  </si>
  <si>
    <t>Precio</t>
  </si>
  <si>
    <t>Comisión</t>
  </si>
  <si>
    <t>Días</t>
  </si>
  <si>
    <t>Ganancia</t>
  </si>
  <si>
    <t>jSEYqfThSumZeTcuGxLOyw</t>
  </si>
  <si>
    <t>Compra</t>
  </si>
  <si>
    <t>fku2cKeJRHqZmjsa9WZ0Wg</t>
  </si>
  <si>
    <t>XSPbOUleTWuJXfUjs81kpA</t>
  </si>
  <si>
    <t>SPY</t>
  </si>
  <si>
    <t>P2tmliSBQWiRkeLZBAQA8Q</t>
  </si>
  <si>
    <t>QQQ</t>
  </si>
  <si>
    <t>22JfD1ENTu2dg.-sw9konw</t>
  </si>
  <si>
    <t>BND</t>
  </si>
  <si>
    <t>RqGujMSTTJmszJ8UhTvHhg</t>
  </si>
  <si>
    <t>imNhMiCGRa6yvazJ.MYRTg</t>
  </si>
  <si>
    <t>a-uT0KHm6SAeoULTj-tbD5w</t>
  </si>
  <si>
    <t>Nombre Activo</t>
  </si>
  <si>
    <t>nannz3yJShez6QbeBliDFQ</t>
  </si>
  <si>
    <t>SPDR S&amp;P 500</t>
  </si>
  <si>
    <t>BYruPCqQQO6FI463OZsHEg</t>
  </si>
  <si>
    <t>Schwab Dividend</t>
  </si>
  <si>
    <t>oGZ0B4eXSkuEu0dyOBZ0aA</t>
  </si>
  <si>
    <t>Schwab Growth</t>
  </si>
  <si>
    <t>a-T3L42boSx-CXLVR11bP9w</t>
  </si>
  <si>
    <t>SPDR S&amp;P 500 ETF</t>
  </si>
  <si>
    <t>1QYO18KUTUaWdCSRXg1QxA</t>
  </si>
  <si>
    <t>Invesco QQQ</t>
  </si>
  <si>
    <t>cnqkxisCT.6nR6Sa76XFeQ</t>
  </si>
  <si>
    <t>Vanguard Total Bond</t>
  </si>
  <si>
    <t>5EyuSRCBQ7-X72dbjDBsYg</t>
  </si>
  <si>
    <t>znBAVWnYQ--yigOZeQZtCg</t>
  </si>
  <si>
    <t>fbZsEjV.TUmZ5GltW946kw</t>
  </si>
  <si>
    <t>2Oy.kgzZS6ypW-BqTW5BBQ</t>
  </si>
  <si>
    <t>uLeeM6.mQ8KuvxDsE-8IEw</t>
  </si>
  <si>
    <t>vLx1a6dVSWGpzmdoO3l9hw</t>
  </si>
  <si>
    <t>VxlaBDvBQgSNHbSf5RaFqQ</t>
  </si>
  <si>
    <t>kCOZwVm3QLWhkXZ6BnyW0Q</t>
  </si>
  <si>
    <t>📊 Índice HHI Real</t>
  </si>
  <si>
    <t>📊 Resumen Diversificación</t>
  </si>
  <si>
    <t>DOshh0y2Soe4LTCgyMkhQA</t>
  </si>
  <si>
    <t>📊 Peso Actual en Portafolio</t>
  </si>
  <si>
    <t>Valor HHI:</t>
  </si>
  <si>
    <t>Total Holdings:</t>
  </si>
  <si>
    <t>VsGcEt.wQEqpAjQpZFfssg</t>
  </si>
  <si>
    <t>ETF</t>
  </si>
  <si>
    <t>Empresas Únicas:</t>
  </si>
  <si>
    <t>tMpouhoWRfqXApa.9ZyRZw</t>
  </si>
  <si>
    <t>📝 Interpretación:</t>
  </si>
  <si>
    <t>Top Holding:</t>
  </si>
  <si>
    <t>6prN-FOBR3mKxH0ePBVlLA</t>
  </si>
  <si>
    <t>HHI &lt; 1500 = Diversificado</t>
  </si>
  <si>
    <t>Peso Top:</t>
  </si>
  <si>
    <t>WYXT33amSPiPpJSY6Ubarw</t>
  </si>
  <si>
    <t>Top 5 Conc.:</t>
  </si>
  <si>
    <t>rl5PtKeUSd6rEjRXdbm7EA</t>
  </si>
  <si>
    <t>📊 Holdings Consolidados del Portafolio</t>
  </si>
  <si>
    <t>🧩 Exposición Consolidada por Empresa</t>
  </si>
  <si>
    <t>🔧 Motor de consolidación automática (no borrar)</t>
  </si>
  <si>
    <t>6iC7SV5fRMmCXHDyK5TT.Q</t>
  </si>
  <si>
    <t>Nombre Empresa</t>
  </si>
  <si>
    <t>Peso Interno ETF</t>
  </si>
  <si>
    <t>Peso Actual en ETF</t>
  </si>
  <si>
    <t>Peso Real en Portafolio</t>
  </si>
  <si>
    <t>Peso Total</t>
  </si>
  <si>
    <t>Tickers únicos (auto)</t>
  </si>
  <si>
    <t>4ZTLwRKzQkq0353RfIazRw</t>
  </si>
  <si>
    <t>-</t>
  </si>
  <si>
    <t>SSI US GOV MONEY MARKET CLASS</t>
  </si>
  <si>
    <t>oJIWczG3QOCebWnyP2171g</t>
  </si>
  <si>
    <t>A</t>
  </si>
  <si>
    <t>AGILENT TECHNOLOGIES INC</t>
  </si>
  <si>
    <t>bT9O-XB5QIq3c6dXNvJzWQ</t>
  </si>
  <si>
    <t>AAL</t>
  </si>
  <si>
    <t>AMERICAN AIRLINES GROUP INC</t>
  </si>
  <si>
    <t>LbiuTPWGTSSmjRuGt81YWw</t>
  </si>
  <si>
    <t>AAPL</t>
  </si>
  <si>
    <t>APPLE INC</t>
  </si>
  <si>
    <t>slbL9Vo8RuCnKNt1pALzbw</t>
  </si>
  <si>
    <t>zDqPhJqiRVi1f8c0Oo4mYw</t>
  </si>
  <si>
    <t>ABBV</t>
  </si>
  <si>
    <t>ABBVIE INC</t>
  </si>
  <si>
    <t>T03Pwj6KSQq7deMu7EAR0g</t>
  </si>
  <si>
    <t>ABNB</t>
  </si>
  <si>
    <t>AIRBNB INC CLASS A</t>
  </si>
  <si>
    <t>8VF3QW1nRvOc3govz0d0-A</t>
  </si>
  <si>
    <t>0M7rd5ZESJ2oEJ7fMbXtiw</t>
  </si>
  <si>
    <t>ABT</t>
  </si>
  <si>
    <t>ABBOTT LABORATORIES</t>
  </si>
  <si>
    <t>udrZM1TEQQ6obeaVUHLzXA</t>
  </si>
  <si>
    <t>9IPkEUhqRkuAM1noGqsWSg</t>
  </si>
  <si>
    <t>ACGL</t>
  </si>
  <si>
    <t>ARCH CAPITAL GROUP LTD</t>
  </si>
  <si>
    <t>jrohiqS9SRq-LLXqbDsI7g</t>
  </si>
  <si>
    <t>ACN</t>
  </si>
  <si>
    <t>ACCENTURE PLC CLASS A</t>
  </si>
  <si>
    <t>zmFWr0SGRvW.ePmv-yBEEg</t>
  </si>
  <si>
    <t>ACCENTURE PLC CL A</t>
  </si>
  <si>
    <t>L-TD63kLQKKOXB6P4eG37g</t>
  </si>
  <si>
    <t>ADBE</t>
  </si>
  <si>
    <t>ADOBE INC</t>
  </si>
  <si>
    <t>iU.sVRt3SSOYg5HBNnlvTA</t>
  </si>
  <si>
    <t>5QEZwyMURme6LEAuJ8Q64w</t>
  </si>
  <si>
    <t>ADI</t>
  </si>
  <si>
    <t>ANALOG DEVICES INC</t>
  </si>
  <si>
    <t>cnuHKkNoS0a8huOBlZ5npw</t>
  </si>
  <si>
    <t>ADM</t>
  </si>
  <si>
    <t>ARCHER DANIELS MIDLAND</t>
  </si>
  <si>
    <t>uZmy9vZ9RzyDGaoCJG7ohg</t>
  </si>
  <si>
    <t>ARCHER DANIELS MIDLAND CO</t>
  </si>
  <si>
    <t>AjwNdHBfTwOigovhrPFRYA</t>
  </si>
  <si>
    <t>ADP</t>
  </si>
  <si>
    <t>AUTOMATIC DATA PROCESSING INC</t>
  </si>
  <si>
    <t>d3Du7eP1SiSoaAkPA6SlUw</t>
  </si>
  <si>
    <t>TQt0jGjkTVmxLJ7w.I0oyA</t>
  </si>
  <si>
    <t>ADSK</t>
  </si>
  <si>
    <t>AUTODESK INC</t>
  </si>
  <si>
    <t>6ECP7rwVRvKnITlr8pU5jg</t>
  </si>
  <si>
    <t>IhJH6k1FQpKLMctp6vLkGA</t>
  </si>
  <si>
    <t>AEE</t>
  </si>
  <si>
    <t>AMEREN CORPORATION</t>
  </si>
  <si>
    <t>VBpDK2VHTvSi4RbSf7XwlA</t>
  </si>
  <si>
    <t>AEP</t>
  </si>
  <si>
    <t>AMERICAN ELECTRIC POWER</t>
  </si>
  <si>
    <t>NrTpxUEoSp-V.oPaxNJ-3g</t>
  </si>
  <si>
    <t>AES</t>
  </si>
  <si>
    <t>AES CORP</t>
  </si>
  <si>
    <t>XwUN4.W.T4SHB26PxA0ndA</t>
  </si>
  <si>
    <t>AFG</t>
  </si>
  <si>
    <t>AMERICAN FINANCIAL GROUP INC</t>
  </si>
  <si>
    <t>rzQAWOeVS7WAzX9KjKsZ.Q</t>
  </si>
  <si>
    <t>AFL</t>
  </si>
  <si>
    <t>AFLAC INC</t>
  </si>
  <si>
    <t>LPhfICkmSKi0p861D8tAVw</t>
  </si>
  <si>
    <t>AFRM</t>
  </si>
  <si>
    <t>AFFIRM HOLDINGS INC CLASS A</t>
  </si>
  <si>
    <t>45Rt-lg2TRuEgXymJhjEfQ</t>
  </si>
  <si>
    <t>AGM</t>
  </si>
  <si>
    <t>FEDERAL AGRICULTURAL MORTGAGE NON</t>
  </si>
  <si>
    <t>ZhGuHE-ASs-nied9gWdcaA</t>
  </si>
  <si>
    <t>AIG</t>
  </si>
  <si>
    <t>AMERICAN INTERNATIONAL GROUP INC</t>
  </si>
  <si>
    <t>cU-kyYFtRJOJR7C7ddFKnA</t>
  </si>
  <si>
    <t>AIZ</t>
  </si>
  <si>
    <t>ASSURANT INC</t>
  </si>
  <si>
    <t>kAp70LWORam-FPFW5pjhsQ</t>
  </si>
  <si>
    <t>AJG</t>
  </si>
  <si>
    <t>ARTHUR J GALLAGHER + CO</t>
  </si>
  <si>
    <t>t8v.DOXCQmqbYKFgADYxow</t>
  </si>
  <si>
    <t>AKAM</t>
  </si>
  <si>
    <t>AKAMAI TECHNOLOGIES INC</t>
  </si>
  <si>
    <t>fK9Szd31SSeCE-cZP198ew</t>
  </si>
  <si>
    <t>ALAB</t>
  </si>
  <si>
    <t>ASTERA LABS INC</t>
  </si>
  <si>
    <t>V2m.rN8jTm-NiUNRKS3Atg</t>
  </si>
  <si>
    <t>ALB</t>
  </si>
  <si>
    <t>ALBEMARLE CORP</t>
  </si>
  <si>
    <t>CPyFqftXQWGFo.jjjdbksA</t>
  </si>
  <si>
    <t>ALGN</t>
  </si>
  <si>
    <t>ALIGN TECHNOLOGY INC</t>
  </si>
  <si>
    <t>VDDAANYySC-i.oDD0pki2A</t>
  </si>
  <si>
    <t>ALL</t>
  </si>
  <si>
    <t>ALLSTATE CORP</t>
  </si>
  <si>
    <t>dcDOcpf9SyuoY4RoiQs1QQ</t>
  </si>
  <si>
    <t>ALLE</t>
  </si>
  <si>
    <t>ALLEGION PLC</t>
  </si>
  <si>
    <t>rmdP7z-SSVW3fpN7CZnTHg</t>
  </si>
  <si>
    <t>ALNY</t>
  </si>
  <si>
    <t>ALNYLAM PHARMACEUTICALS INC</t>
  </si>
  <si>
    <t>xoZYlbc2Txyhfo9HtMr2YA</t>
  </si>
  <si>
    <t>ALV</t>
  </si>
  <si>
    <t>AUTOLIV INC</t>
  </si>
  <si>
    <t>a.XFx2.f2RDiBfCwA-O-oUw</t>
  </si>
  <si>
    <t>AMAT</t>
  </si>
  <si>
    <t>APPLIED MATERIALS INC</t>
  </si>
  <si>
    <t>uPum.zkZQdSvgWV0sFidlg</t>
  </si>
  <si>
    <t>AMCR</t>
  </si>
  <si>
    <t>AMCOR PLC</t>
  </si>
  <si>
    <t>a-wdzYqSjTEuriIz9HHJS1w</t>
  </si>
  <si>
    <t>AMD</t>
  </si>
  <si>
    <t>ADVANCED MICRO DEVICES INC</t>
  </si>
  <si>
    <t>KW9MUHWaTbSpRhkxs2R-yA</t>
  </si>
  <si>
    <t>HsdwGerMRa6AAhdcGK340Q</t>
  </si>
  <si>
    <t>AME</t>
  </si>
  <si>
    <t>AMETEK INC</t>
  </si>
  <si>
    <t>26PyTky6R9eBhn1w3DAWXw</t>
  </si>
  <si>
    <t>AMGN</t>
  </si>
  <si>
    <t>AMGEN INC</t>
  </si>
  <si>
    <t>7GjEXY2uQbWuDa2hkIaXXw</t>
  </si>
  <si>
    <t>3ORkrO91Rt-Ridf9ZT7Y1A</t>
  </si>
  <si>
    <t>AMP</t>
  </si>
  <si>
    <t>AMERIPRISE FINANCIAL INC</t>
  </si>
  <si>
    <t>pVMeaJLnRoSjDodrA8vVAg</t>
  </si>
  <si>
    <t>AMSF</t>
  </si>
  <si>
    <t>AMERISAFE INC</t>
  </si>
  <si>
    <t>zLHRxDuiSBGnJZsJGcyRtw</t>
  </si>
  <si>
    <t>AMT</t>
  </si>
  <si>
    <t>AMERICAN TOWER CORPORATION</t>
  </si>
  <si>
    <t>4lrDCcbxQPClWqc.-Duz3Q</t>
  </si>
  <si>
    <t>AMZN</t>
  </si>
  <si>
    <t>AMAZON.COM INC</t>
  </si>
  <si>
    <t>uScCi6aaRFK2PX2Ji6YVNQ</t>
  </si>
  <si>
    <t>Py.AlNNUT.mAHQcpF7tRfw</t>
  </si>
  <si>
    <t>ANET</t>
  </si>
  <si>
    <t>ARISTA NETWORKS INC</t>
  </si>
  <si>
    <t>tgq9vxddS7mZN8luuJA-SQ</t>
  </si>
  <si>
    <t>9vJiAalnSZWNNaP0mXVweg</t>
  </si>
  <si>
    <t>AON</t>
  </si>
  <si>
    <t>AON PLC CLASS A</t>
  </si>
  <si>
    <t>WrZi04TjQE6.yZxn09P0ew</t>
  </si>
  <si>
    <t>AOS</t>
  </si>
  <si>
    <t>SMITH (A.O.) CORP</t>
  </si>
  <si>
    <t>BPS9cHA1T-uiaYk2BZA-vA</t>
  </si>
  <si>
    <t>APA</t>
  </si>
  <si>
    <t>APA CORP</t>
  </si>
  <si>
    <t>VETMS8g5QXqnMf5.1RvfLg</t>
  </si>
  <si>
    <t>8RTammv2SZ6aTp2nyB3LBA</t>
  </si>
  <si>
    <t>APAM</t>
  </si>
  <si>
    <t>ARTISAN PARTNERS ASSET MANAGEMENT</t>
  </si>
  <si>
    <t>I92tX8gIRem.Y1aYntDZFg</t>
  </si>
  <si>
    <t>APD</t>
  </si>
  <si>
    <t>AIR PRODUCTS + CHEMICALS INC</t>
  </si>
  <si>
    <t>N5oW-xYMRRClc-VAQ4K4dQ</t>
  </si>
  <si>
    <t>APH</t>
  </si>
  <si>
    <t>AMPHENOL CORP CL A</t>
  </si>
  <si>
    <t>HEQoOCaLTbWo9sBK8mCs9Q</t>
  </si>
  <si>
    <t>APO</t>
  </si>
  <si>
    <t>APOLLO GLOBAL MANAGEMENT INC</t>
  </si>
  <si>
    <t>5z.63ZmuROeKuqI5LsfFiQ</t>
  </si>
  <si>
    <t>mIbxcd96R0yLbR-0zhSVlA</t>
  </si>
  <si>
    <t>APP</t>
  </si>
  <si>
    <t>APPLOVIN CORP CLASS A</t>
  </si>
  <si>
    <t>hLQlHIG0S9WXxHCVT1RZuw</t>
  </si>
  <si>
    <t>ytSc.RO.SwaYhFvaRI81KQ</t>
  </si>
  <si>
    <t>APTV</t>
  </si>
  <si>
    <t>APTIV PLC</t>
  </si>
  <si>
    <t>ms8XiiyqTPKSJKoIsXu5bA</t>
  </si>
  <si>
    <t>ARE</t>
  </si>
  <si>
    <t>ALEXANDRIA REAL ESTATE EQUIT</t>
  </si>
  <si>
    <t>PiZXcLM5QPWHNx1E9qinmw</t>
  </si>
  <si>
    <t>ARES</t>
  </si>
  <si>
    <t>ARES MANAGEMENT CORP CLASS A</t>
  </si>
  <si>
    <t>Eg7yIGhcQfm7tQZBs1TYyw</t>
  </si>
  <si>
    <t>ARES MANAGEMENT CORP A</t>
  </si>
  <si>
    <t>jlXBz-D.R4Cx3bzOG4n0zw</t>
  </si>
  <si>
    <t>ATO</t>
  </si>
  <si>
    <t>ATMOS ENERGY CORP</t>
  </si>
  <si>
    <t>a3uEZd.sQoeAqreJqun6XA</t>
  </si>
  <si>
    <t>AVB</t>
  </si>
  <si>
    <t>AVALONBAY COMMUNITIES INC</t>
  </si>
  <si>
    <t>ILfRuKJqTSmwDuq9SR5vZw</t>
  </si>
  <si>
    <t>AVGO</t>
  </si>
  <si>
    <t>BROADCOM INC</t>
  </si>
  <si>
    <t>aJrdVJ15Q.mLTx-iYDGmJA</t>
  </si>
  <si>
    <t>14Yg2juDThiNOimP4Dq9gA</t>
  </si>
  <si>
    <t>AVY</t>
  </si>
  <si>
    <t>AVERY DENNISON CORPORATION</t>
  </si>
  <si>
    <t>6h9HGcj7S0G0v5P7eiG4mw</t>
  </si>
  <si>
    <t>AWK</t>
  </si>
  <si>
    <t>AMERICAN WATER WORKS CO INC</t>
  </si>
  <si>
    <t>shLT-clvTJKPXirqYKbclQ</t>
  </si>
  <si>
    <t>AXON</t>
  </si>
  <si>
    <t>AXON ENTERPRISE INC</t>
  </si>
  <si>
    <t>U9ayxpqwR5ivwzbkVdBJSQ</t>
  </si>
  <si>
    <t>IJWy7JDFSISWrO2DvEb3bA</t>
  </si>
  <si>
    <t>AXP</t>
  </si>
  <si>
    <t>AMERICAN EXPRESS COMPANY</t>
  </si>
  <si>
    <t>cEYEnFWMQhKjQAANjxWs4g</t>
  </si>
  <si>
    <t>AZO</t>
  </si>
  <si>
    <t>AUTOZONE INC</t>
  </si>
  <si>
    <t>k7b.jOzZTR-E8aJAA3OUYA</t>
  </si>
  <si>
    <t>R2MWQdfqR1KX0m7YOhFoxg</t>
  </si>
  <si>
    <t>BA</t>
  </si>
  <si>
    <t>BOEING CO/THE</t>
  </si>
  <si>
    <t>BINA5bERRIGmZbNNxwfX5A</t>
  </si>
  <si>
    <t>BAC</t>
  </si>
  <si>
    <t>BANK OF AMERICA CORP</t>
  </si>
  <si>
    <t>n-aLKRNIQMip3FWA80juGA</t>
  </si>
  <si>
    <t>BAH</t>
  </si>
  <si>
    <t>BOOZ ALLEN HAMILTON HOLDING CORP C</t>
  </si>
  <si>
    <t>ZXbOC5z2R2msQdRVsm4ivA</t>
  </si>
  <si>
    <t>BALL</t>
  </si>
  <si>
    <t>BALL CORP</t>
  </si>
  <si>
    <t>1SJF0b8nT0qqlJGlAV8daw</t>
  </si>
  <si>
    <t>BANR</t>
  </si>
  <si>
    <t>BANNER CORP</t>
  </si>
  <si>
    <t>HRnWjdDkR9ahNch3lQ2dhg</t>
  </si>
  <si>
    <t>BAX</t>
  </si>
  <si>
    <t>BAXTER INTERNATIONAL INC</t>
  </si>
  <si>
    <t>8s6c9B5FTT2XFm7S8Sl1Rw</t>
  </si>
  <si>
    <t>BBY</t>
  </si>
  <si>
    <t>BEST BUY INC</t>
  </si>
  <si>
    <t>4H2kj-LnTkK5NwH87tSwbw</t>
  </si>
  <si>
    <t>BEST BUY CO INC</t>
  </si>
  <si>
    <t>JomN6m5wRCmh2r.nZuD-WA</t>
  </si>
  <si>
    <t>BDX</t>
  </si>
  <si>
    <t>BECTON DICKINSON AND CO</t>
  </si>
  <si>
    <t>LfdDfpeeQBC60Ns5n1kvLQ</t>
  </si>
  <si>
    <t>BEN</t>
  </si>
  <si>
    <t>FRANKLIN RESOURCES INC</t>
  </si>
  <si>
    <t>qDWD53eJTlWmDokQoePh5w</t>
  </si>
  <si>
    <t>BF.B</t>
  </si>
  <si>
    <t>BROWN FORMAN CORP CLASS B</t>
  </si>
  <si>
    <t>WJmTZV2TSBqcFVrfYtRwCg</t>
  </si>
  <si>
    <t>BG</t>
  </si>
  <si>
    <t>BUNGE GLOBAL SA</t>
  </si>
  <si>
    <t>0i4XPJSwQEidtF7.At0obw</t>
  </si>
  <si>
    <t>BIIB</t>
  </si>
  <si>
    <t>BIOGEN INC</t>
  </si>
  <si>
    <t>5mH.nN3uQYKmmr47XDkwmw</t>
  </si>
  <si>
    <t>BK</t>
  </si>
  <si>
    <t>BANK OF NEW YORK MELLON CORP</t>
  </si>
  <si>
    <t>O-AmU5.dQjmtxuGF1pAfxQ</t>
  </si>
  <si>
    <t>BKE</t>
  </si>
  <si>
    <t>BUCKLE INC</t>
  </si>
  <si>
    <t>yowuk1PJRMqeQoa875CBNA</t>
  </si>
  <si>
    <t>BKNG</t>
  </si>
  <si>
    <t>BOOKING HOLDINGS INC</t>
  </si>
  <si>
    <t>kJjDDYtIQeKOtCMQbbcARg</t>
  </si>
  <si>
    <t>1WKPe4gITNaKxEHKqDMrKA</t>
  </si>
  <si>
    <t>BKR</t>
  </si>
  <si>
    <t>BAKER HUGHES CLASS A</t>
  </si>
  <si>
    <t>kqmrqFUpSAufdEYPv33Dag</t>
  </si>
  <si>
    <t>BAKER HUGHES CO</t>
  </si>
  <si>
    <t>txIKBVT6R92Kjmf4ezluVg</t>
  </si>
  <si>
    <t>BLD</t>
  </si>
  <si>
    <t>TOPBUILD CORP</t>
  </si>
  <si>
    <t>CO4luTTQT0Gj6i7r3h80wQ</t>
  </si>
  <si>
    <t>BLDR</t>
  </si>
  <si>
    <t>BUILDERS FIRSTSOURCE INC</t>
  </si>
  <si>
    <t>SkAetCL6TFSf0HXEH3mbag</t>
  </si>
  <si>
    <t>gbSsSsjXRyOfcvgieZSs7A</t>
  </si>
  <si>
    <t>BLK</t>
  </si>
  <si>
    <t>BLACKROCK INC</t>
  </si>
  <si>
    <t>du43062vR8izlN2etnpqLw</t>
  </si>
  <si>
    <t>429Bsg1TSMq8qN-0e1e56w</t>
  </si>
  <si>
    <t>BMY</t>
  </si>
  <si>
    <t>BRISTOL MYERS SQUIBB</t>
  </si>
  <si>
    <t>TR56Vbm6SDqF1iHkt3nj2Q</t>
  </si>
  <si>
    <t>BRISTOL MYERS SQUIBB CO</t>
  </si>
  <si>
    <t>ZdVby5BjQm-XHyxuOTfrQw</t>
  </si>
  <si>
    <t>BR</t>
  </si>
  <si>
    <t>BROADRIDGE FINANCIAL SOLUTIONS INC</t>
  </si>
  <si>
    <t>rEXtapnFScmqZovJXGxU6w</t>
  </si>
  <si>
    <t>BROADRIDGE FINANCIAL SOLUTIO</t>
  </si>
  <si>
    <t>W1-CZbNhQiS-7o00LquhdA</t>
  </si>
  <si>
    <t>BRK.B</t>
  </si>
  <si>
    <t>BERKSHIRE HATHAWAY INC CL B</t>
  </si>
  <si>
    <t>wUm-hphGRmKlGpyOdzDxyQ</t>
  </si>
  <si>
    <t>BRO</t>
  </si>
  <si>
    <t>BROWN + BROWN INC</t>
  </si>
  <si>
    <t>S-xQyML0SJyfirBF1dO16g</t>
  </si>
  <si>
    <t>BSX</t>
  </si>
  <si>
    <t>BOSTON SCIENTIFIC CORP</t>
  </si>
  <si>
    <t>wY787WKBQ-eKaoggLqvqNg</t>
  </si>
  <si>
    <t>BX</t>
  </si>
  <si>
    <t>BLACKSTONE INC</t>
  </si>
  <si>
    <t>vWbx.9SARVOzgHy3T56snQ</t>
  </si>
  <si>
    <t>DZI1cDWgTtac.H6zKk0Hog</t>
  </si>
  <si>
    <t>BXP</t>
  </si>
  <si>
    <t>BXP INC</t>
  </si>
  <si>
    <t>c84r.pwJRnu6W68APee9qw</t>
  </si>
  <si>
    <t>C</t>
  </si>
  <si>
    <t>CITIGROUP INC</t>
  </si>
  <si>
    <t>OZdhGiZzQMmrs0.kSEm0Vg</t>
  </si>
  <si>
    <t>CACI</t>
  </si>
  <si>
    <t>CACI INTERNATIONAL INC CLASS A</t>
  </si>
  <si>
    <t>JPVz.7W4Rkyt0IcfvUAgfg</t>
  </si>
  <si>
    <t>CAG</t>
  </si>
  <si>
    <t>CONAGRA BRANDS INC</t>
  </si>
  <si>
    <t>zTKfjmeBRSe5.MN8sUo1Aw</t>
  </si>
  <si>
    <t>CAH</t>
  </si>
  <si>
    <t>CARDINAL HEALTH INC</t>
  </si>
  <si>
    <t>WwdbjdgVT8S2N-m-jFKgmA</t>
  </si>
  <si>
    <t>CARR</t>
  </si>
  <si>
    <t>CARRIER GLOBAL CORP</t>
  </si>
  <si>
    <t>r0e6QTl.QjyIGreF5MfcsA</t>
  </si>
  <si>
    <t>CASY</t>
  </si>
  <si>
    <t>CASEY S GENERAL STORES INC</t>
  </si>
  <si>
    <t>6YfW1U7dRBS2w03r0Ir-Vw</t>
  </si>
  <si>
    <t>gkt2u2uhTMGRHpMgXpTcCQ</t>
  </si>
  <si>
    <t>CAT</t>
  </si>
  <si>
    <t>CATERPILLAR INC</t>
  </si>
  <si>
    <t>3lXkkHomT7G25DfkFwZh7g</t>
  </si>
  <si>
    <t>CAVA</t>
  </si>
  <si>
    <t>CAVA GROUP INC</t>
  </si>
  <si>
    <t>cluteO4MQtq8ttInzAuHEA</t>
  </si>
  <si>
    <t>CB</t>
  </si>
  <si>
    <t>CHUBB LTD</t>
  </si>
  <si>
    <t>YN9QWBEFQtSIhLzsp7SN2g</t>
  </si>
  <si>
    <t>CBOE</t>
  </si>
  <si>
    <t>CBOE GLOBAL MARKETS INC</t>
  </si>
  <si>
    <t>U8gI.AN2R7KUdhG9tJXpEQ</t>
  </si>
  <si>
    <t>CBRE</t>
  </si>
  <si>
    <t>CBRE GROUP INC A</t>
  </si>
  <si>
    <t>Q65GSF2xQ7enAYCjFdt-zw</t>
  </si>
  <si>
    <t>CCBG</t>
  </si>
  <si>
    <t>CAPITAL CITY BANK INC</t>
  </si>
  <si>
    <t>a-bW682vrRnmSqmxJDmAtWw</t>
  </si>
  <si>
    <t>CCI</t>
  </si>
  <si>
    <t>CROWN CASTLE INC</t>
  </si>
  <si>
    <t>gysD7sY-RNiTOLvZtY7e.g</t>
  </si>
  <si>
    <t>CCL</t>
  </si>
  <si>
    <t>CARNIVAL CORP</t>
  </si>
  <si>
    <t>0i1ufte.QIGG2.l8vRaBoA</t>
  </si>
  <si>
    <t>CARNIVAL CORP LTD</t>
  </si>
  <si>
    <t>nfNqyQbiQFKgFZSoTkfV8w</t>
  </si>
  <si>
    <t>CDNS</t>
  </si>
  <si>
    <t>CADENCE DESIGN SYSTEMS INC</t>
  </si>
  <si>
    <t>HEotnESaT2aAXekV3V0NfA</t>
  </si>
  <si>
    <t>CADENCE DESIGN SYS INC</t>
  </si>
  <si>
    <t>a-jq9WSIiTgubzpEE-zvmaw</t>
  </si>
  <si>
    <t>CDW</t>
  </si>
  <si>
    <t>CDW CORP/DE</t>
  </si>
  <si>
    <t>Ipd9wtziR1SdgwktrkoGcg</t>
  </si>
  <si>
    <t>CEG</t>
  </si>
  <si>
    <t>CONSTELLATION ENERGY CORP</t>
  </si>
  <si>
    <t>9XLtaU8YTNCmsc98opPZYw</t>
  </si>
  <si>
    <t>CONSTELLATION ENERGY</t>
  </si>
  <si>
    <t>R5MmndPdQ1mysrbsD2NaVA</t>
  </si>
  <si>
    <t>CELH</t>
  </si>
  <si>
    <t>CELSIUS HOLDINGS INC</t>
  </si>
  <si>
    <t>6q-233erQDi3OZ.W1.wVkw</t>
  </si>
  <si>
    <t>CF</t>
  </si>
  <si>
    <t>CF INDUSTRIES HOLDINGS INC</t>
  </si>
  <si>
    <t>rV7hWST1Q-6npuPaNY7oTA</t>
  </si>
  <si>
    <t>CFG</t>
  </si>
  <si>
    <t>CITIZENS FINANCIAL GROUP INC</t>
  </si>
  <si>
    <t>H.5cvPV3TISlLXjRv4GABA</t>
  </si>
  <si>
    <t>CHCO</t>
  </si>
  <si>
    <t>CITY HOLDING</t>
  </si>
  <si>
    <t>BeHJaZPiRY6-ASsz4ldffQ</t>
  </si>
  <si>
    <t>CHD</t>
  </si>
  <si>
    <t>CHURCH + DWIGHT CO INC</t>
  </si>
  <si>
    <t>pjCVxYt-SPi6PDYe4EVC2Q</t>
  </si>
  <si>
    <t>CHDN</t>
  </si>
  <si>
    <t>CHURCHILL DOWNS INC</t>
  </si>
  <si>
    <t>0oWEQwrQROaHoJxz3I72Mg</t>
  </si>
  <si>
    <t>CHE</t>
  </si>
  <si>
    <t>CHEMED CORP</t>
  </si>
  <si>
    <t>vAzW3F71SBCl1V9X0jxERQ</t>
  </si>
  <si>
    <t>CHRW</t>
  </si>
  <si>
    <t>C.H. ROBINSON WORLDWIDE INC</t>
  </si>
  <si>
    <t>I0Vy0sW0Q4yaPltwp2vYuw</t>
  </si>
  <si>
    <t>CHTR</t>
  </si>
  <si>
    <t>CHARTER COMMUNICATIONS INC A</t>
  </si>
  <si>
    <t>42YMDJaqQISTUzjv5pF7aQ</t>
  </si>
  <si>
    <t>CI</t>
  </si>
  <si>
    <t>THE CIGNA GROUP</t>
  </si>
  <si>
    <t>PIEz0fEhQS2IvFYV24pnlQ</t>
  </si>
  <si>
    <t>CIEN</t>
  </si>
  <si>
    <t>CIENA CORP</t>
  </si>
  <si>
    <t>HeiMkHlhQWa.8-T3FHe.gA</t>
  </si>
  <si>
    <t>CINF</t>
  </si>
  <si>
    <t>CINCINNATI FINANCIAL CORP</t>
  </si>
  <si>
    <t>kj6fjW9fTW6bqGSSs9yMvw</t>
  </si>
  <si>
    <t>Sl6s0GI9Tl2QBL8Rv6IFww</t>
  </si>
  <si>
    <t>CL</t>
  </si>
  <si>
    <t>COLGATE PALMOLIVE CO</t>
  </si>
  <si>
    <t>DOxvhNGETTKee7zbRLGqQA</t>
  </si>
  <si>
    <t>CLH</t>
  </si>
  <si>
    <t>CLEAN HARBORS INC</t>
  </si>
  <si>
    <t>a.IeQtuHvQCWcZkASsd6WQQ</t>
  </si>
  <si>
    <t>CLX</t>
  </si>
  <si>
    <t>CLOROX COMPANY</t>
  </si>
  <si>
    <t>Wd6pXpfoQBmkI6cn3Be80A</t>
  </si>
  <si>
    <t>CMCSA</t>
  </si>
  <si>
    <t>COMCAST CORP CLASS A</t>
  </si>
  <si>
    <t>i58xqBAjRrWu9LBkpLwN0Q</t>
  </si>
  <si>
    <t>088tjyQhTz2PyBxgTogBuQ</t>
  </si>
  <si>
    <t>CME</t>
  </si>
  <si>
    <t>CME GROUP INC</t>
  </si>
  <si>
    <t>M8fRgEP4SVK8r3LMEHBDkw</t>
  </si>
  <si>
    <t>CMG</t>
  </si>
  <si>
    <t>CHIPOTLE MEXICAN GRILL INC</t>
  </si>
  <si>
    <t>gm16.dqcSmqoDp0G.IpwoA</t>
  </si>
  <si>
    <t>CMI</t>
  </si>
  <si>
    <t>CUMMINS INC</t>
  </si>
  <si>
    <t>lfThXmMST-6MiKmafXhJWQ</t>
  </si>
  <si>
    <t>CMS</t>
  </si>
  <si>
    <t>CMS ENERGY CORP</t>
  </si>
  <si>
    <t>aJJIBTYURL2.yDx3OsmSLg</t>
  </si>
  <si>
    <t>CNA</t>
  </si>
  <si>
    <t>CNA FINANCIAL CORP</t>
  </si>
  <si>
    <t>3IxCFP3.SbqJvRXumRg0aA</t>
  </si>
  <si>
    <t>CNC</t>
  </si>
  <si>
    <t>CENTENE CORP</t>
  </si>
  <si>
    <t>UuGkWHdJS8CZ0Kk01SWXhg</t>
  </si>
  <si>
    <t>CNM</t>
  </si>
  <si>
    <t>CORE &amp; MAIN INC CLASS A</t>
  </si>
  <si>
    <t>OTetGwlkQUWrr.9idLCiVw</t>
  </si>
  <si>
    <t>CNP</t>
  </si>
  <si>
    <t>CENTERPOINT ENERGY INC</t>
  </si>
  <si>
    <t>6xEgAq2RQ2afIpIWbBjMhQ</t>
  </si>
  <si>
    <t>CNS</t>
  </si>
  <si>
    <t>COHEN &amp; STEERS INC</t>
  </si>
  <si>
    <t>fBl6U85fRdiwzgiLK2nblg</t>
  </si>
  <si>
    <t>COF</t>
  </si>
  <si>
    <t>CAPITAL ONE FINANCIAL CORPORATION</t>
  </si>
  <si>
    <t>xA9WC-OYQEOUTSgWwAz6oA</t>
  </si>
  <si>
    <t>COHR</t>
  </si>
  <si>
    <t>COHERENT CORP</t>
  </si>
  <si>
    <t>q2hh5MPtS-aZ0bnf6jlQhQ</t>
  </si>
  <si>
    <t>DxAxR6CpRPKh7u.TxkzSvA</t>
  </si>
  <si>
    <t>COIN</t>
  </si>
  <si>
    <t>COINBASE GLOBAL INC CLASS A</t>
  </si>
  <si>
    <t>GuoOhaIZSXaPfBqGBPPkRA</t>
  </si>
  <si>
    <t>oKtPdgdxRf260n2A4UZbJQ</t>
  </si>
  <si>
    <t>COLB</t>
  </si>
  <si>
    <t>COLUMBIA BANKING SYSTEM INC</t>
  </si>
  <si>
    <t>s.IWU40OREKcJmUuLr8yBQ</t>
  </si>
  <si>
    <t>COO</t>
  </si>
  <si>
    <t>COOPER COS INC/THE</t>
  </si>
  <si>
    <t>paqlU6BDRgOv90D-970K5w</t>
  </si>
  <si>
    <t>COP</t>
  </si>
  <si>
    <t>CONOCOPHILLIPS</t>
  </si>
  <si>
    <t>MDRNx2OSSXasInhyrj1u.Q</t>
  </si>
  <si>
    <t>jkG7ZSkEST67vM5HpfzYxg</t>
  </si>
  <si>
    <t>COR</t>
  </si>
  <si>
    <t>CENCORA INC</t>
  </si>
  <si>
    <t>W-M3OE12TCOuSaIUUtBLig</t>
  </si>
  <si>
    <t>COST</t>
  </si>
  <si>
    <t>COSTCO WHOLESALE CORP</t>
  </si>
  <si>
    <t>MPw13Q3eT5Wugdw6HvuSSg</t>
  </si>
  <si>
    <t>HUxOL49PRBi6SADaqWCCPg</t>
  </si>
  <si>
    <t>CPAY</t>
  </si>
  <si>
    <t>CORPAY INC</t>
  </si>
  <si>
    <t>ewL9.8uBQ9GxZiM2-dxPRw</t>
  </si>
  <si>
    <t>CPB</t>
  </si>
  <si>
    <t>THE CAMPBELL S COMPANY</t>
  </si>
  <si>
    <t>DTwwJwOnTJ20pPl.A9Y8iw</t>
  </si>
  <si>
    <t>CPF</t>
  </si>
  <si>
    <t>CENTRAL PACIFIC FINANCIAL CORP</t>
  </si>
  <si>
    <t>mUCt4xdkS9eLtL9YFB1WtA</t>
  </si>
  <si>
    <t>CPNG</t>
  </si>
  <si>
    <t>COUPANG INC CLASS A</t>
  </si>
  <si>
    <t>F.tNbETCQAy26ZMwkbvqbg</t>
  </si>
  <si>
    <t>CPRT</t>
  </si>
  <si>
    <t>COPART INC</t>
  </si>
  <si>
    <t>Vnd2rtauRACVQv2WjJI-Xw</t>
  </si>
  <si>
    <t>CPT</t>
  </si>
  <si>
    <t>CAMDEN PROPERTY TRUST</t>
  </si>
  <si>
    <t>XzbAQjWXS-aDZRzrl1gmdw</t>
  </si>
  <si>
    <t>CRCL</t>
  </si>
  <si>
    <t>CIRCLE INTERNET GROUP INC CLASS A</t>
  </si>
  <si>
    <t>apWNP9awSiGcqM-rWpV.7Q</t>
  </si>
  <si>
    <t>CRDO</t>
  </si>
  <si>
    <t>CREDO TECHNOLOGY GROUP HOLDING LTD</t>
  </si>
  <si>
    <t>CyzjdnbvTMCrHyPYN9h9RA</t>
  </si>
  <si>
    <t>CRH</t>
  </si>
  <si>
    <t>CRH PLC</t>
  </si>
  <si>
    <t>iesOIjkORp--Jb5SbWDKKA</t>
  </si>
  <si>
    <t>CRL</t>
  </si>
  <si>
    <t>CHARLES RIVER LABORATORIES</t>
  </si>
  <si>
    <t>HtMCBYEiS8Cahvzg3o81Ag</t>
  </si>
  <si>
    <t>CRM</t>
  </si>
  <si>
    <t>SALESFORCE INC</t>
  </si>
  <si>
    <t>yHVTqhyHSNqq58kB8kjcsg</t>
  </si>
  <si>
    <t>ldyW.6ArSO-IVmaOcwUqlA</t>
  </si>
  <si>
    <t>CRS</t>
  </si>
  <si>
    <t>CARPENTER TECHNOLOGY CORP</t>
  </si>
  <si>
    <t>eB1DuA7YSFicefDb8KVF9g</t>
  </si>
  <si>
    <t>CRWD</t>
  </si>
  <si>
    <t>CROWDSTRIKE HOLDINGS INC CLASS A</t>
  </si>
  <si>
    <t>fXQQH.2jRyy1dqKlc96YdA</t>
  </si>
  <si>
    <t>CROWDSTRIKE HOLDINGS INC A</t>
  </si>
  <si>
    <t>hqC5Qe9eTSO3DPZ.ai-ziw</t>
  </si>
  <si>
    <t>CSCO</t>
  </si>
  <si>
    <t>CISCO SYSTEMS INC</t>
  </si>
  <si>
    <t>uc3rIN5LT4qBccR8NJC9NA</t>
  </si>
  <si>
    <t>CSGP</t>
  </si>
  <si>
    <t>COSTAR GROUP INC</t>
  </si>
  <si>
    <t>KZbhMU0zTlywwOUDh7R5UQ</t>
  </si>
  <si>
    <t>CSL</t>
  </si>
  <si>
    <t>CARLISLE COMPANIES INC</t>
  </si>
  <si>
    <t>PWvfXqxkSbWTa5lXkd5.GA</t>
  </si>
  <si>
    <t>CSX</t>
  </si>
  <si>
    <t>CSX CORP</t>
  </si>
  <si>
    <t>d8wzbnBgSzuREQMV7O06kQ</t>
  </si>
  <si>
    <t>CTAS</t>
  </si>
  <si>
    <t>CINTAS CORP</t>
  </si>
  <si>
    <t>48vMDWRsQWuqJX6-hBcChA</t>
  </si>
  <si>
    <t>CTSH</t>
  </si>
  <si>
    <t>COGNIZANT TECH SOLUTIONS A</t>
  </si>
  <si>
    <t>ah8zDZpbQsSupIVO8kmsAA</t>
  </si>
  <si>
    <t>CTVA</t>
  </si>
  <si>
    <t>CORTEVA INC</t>
  </si>
  <si>
    <t>ooFeXa-0RkC8cyJeFbcIfQ</t>
  </si>
  <si>
    <t>CVBF</t>
  </si>
  <si>
    <t>CVB FINANCIAL CORP</t>
  </si>
  <si>
    <t>u4w7im3sS827SwVNDWVAEA</t>
  </si>
  <si>
    <t>CVNA</t>
  </si>
  <si>
    <t>CARVANA CLASS A</t>
  </si>
  <si>
    <t>uJW-tTh3RGWTt5HKFxeHxA</t>
  </si>
  <si>
    <t>CARVANA CO</t>
  </si>
  <si>
    <t>OttgOQnBTQGchXwm.6DsiA</t>
  </si>
  <si>
    <t>CVS</t>
  </si>
  <si>
    <t>CVS HEALTH CORP</t>
  </si>
  <si>
    <t>t-6gYVnPTU6OO93FVBbgTw</t>
  </si>
  <si>
    <t>CVX</t>
  </si>
  <si>
    <t>CHEVRON CORP</t>
  </si>
  <si>
    <t>gpXcT1IIRN6zlxDyo6Oiww</t>
  </si>
  <si>
    <t>qKr3YF17QmCfCNJ0nXVHCw</t>
  </si>
  <si>
    <t>CW</t>
  </si>
  <si>
    <t>CURTISS WRIGHT CORP</t>
  </si>
  <si>
    <t>zO.MVkiwSC6L9awg8Wmzig</t>
  </si>
  <si>
    <t>CWEN</t>
  </si>
  <si>
    <t>CLEARWAY ENERGY INC CLASS C</t>
  </si>
  <si>
    <t>Dz2qkPDlTmeEHWRmQp050g</t>
  </si>
  <si>
    <t>D</t>
  </si>
  <si>
    <t>DOMINION ENERGY INC</t>
  </si>
  <si>
    <t>IwNW0U3TRRah5QxW3SVM2A</t>
  </si>
  <si>
    <t>DAL</t>
  </si>
  <si>
    <t>DELTA AIR LINES INC</t>
  </si>
  <si>
    <t>SIuN8oEOSCm4SYIRgUBF0Q</t>
  </si>
  <si>
    <t>DASH</t>
  </si>
  <si>
    <t>DOORDASH INC CLASS A</t>
  </si>
  <si>
    <t>FSIRyjfGTga.jmdi6uTq9A</t>
  </si>
  <si>
    <t>DOORDASH INC A</t>
  </si>
  <si>
    <t>PhQoIqrJQnGQGLW1MTAGVg</t>
  </si>
  <si>
    <t>DD</t>
  </si>
  <si>
    <t>DUPONT DE NEMOURS INC</t>
  </si>
  <si>
    <t>VdsJYzgrSTWz15ajIGOFmQ</t>
  </si>
  <si>
    <t>DDOG</t>
  </si>
  <si>
    <t>DATADOG INC CLASS A</t>
  </si>
  <si>
    <t>Q8lB.lWyRjGxYzd0O4tk.Q</t>
  </si>
  <si>
    <t>kL16tWpPRC2S0FKfPBX-kg</t>
  </si>
  <si>
    <t>DE</t>
  </si>
  <si>
    <t>DEERE + CO</t>
  </si>
  <si>
    <t>a-tkHrSjATEOoC7WAD58Jrw</t>
  </si>
  <si>
    <t>DECK</t>
  </si>
  <si>
    <t>DECKERS OUTDOOR CORP</t>
  </si>
  <si>
    <t>Uk1mIIBMROaQVthFGUmOgg</t>
  </si>
  <si>
    <t>FXk7mIKoROGh56k.h3WKxQ</t>
  </si>
  <si>
    <t>DELL</t>
  </si>
  <si>
    <t>DELL TECHNOLOGIES C</t>
  </si>
  <si>
    <t>a-cwZlUTBQue8LJq0BhOI8Q</t>
  </si>
  <si>
    <t>DG</t>
  </si>
  <si>
    <t>DOLLAR GENERAL CORP</t>
  </si>
  <si>
    <t>kyVYatl2TammVOuUWDaeLQ</t>
  </si>
  <si>
    <t>DGX</t>
  </si>
  <si>
    <t>QUEST DIAGNOSTICS INC</t>
  </si>
  <si>
    <t>ryl5ryHaRfm2gbI8bCWBeg</t>
  </si>
  <si>
    <t>DHI</t>
  </si>
  <si>
    <t>D R HORTON INC</t>
  </si>
  <si>
    <t>3iUR2WfER1ys0Ss9ZHpE.A</t>
  </si>
  <si>
    <t>DHR</t>
  </si>
  <si>
    <t>DANAHER CORP</t>
  </si>
  <si>
    <t>pHXou624Q32ovJyCAT468Q</t>
  </si>
  <si>
    <t>0dKlnPdyQdOc5bLV2oLf2g</t>
  </si>
  <si>
    <t>DINO</t>
  </si>
  <si>
    <t>HF SINCLAIR CORP</t>
  </si>
  <si>
    <t>LWA9gpsXSoOd2XjhXwsx7A</t>
  </si>
  <si>
    <t>DIS</t>
  </si>
  <si>
    <t>WALT DISNEY</t>
  </si>
  <si>
    <t>1UbYEZl0S.Sbxx4Q2BeKNQ</t>
  </si>
  <si>
    <t>WALT DISNEY CO/THE</t>
  </si>
  <si>
    <t>M1Q5Q2QoQLqHxO1cMLEUbw</t>
  </si>
  <si>
    <t>DKNG</t>
  </si>
  <si>
    <t>DRAFTKINGS INC CLASS A</t>
  </si>
  <si>
    <t>qNA4esVyQymsyFJcu.eoZw</t>
  </si>
  <si>
    <t>DLR</t>
  </si>
  <si>
    <t>DIGITAL REALTY TRUST INC</t>
  </si>
  <si>
    <t>MzO.HUv4TmOsUFbEaB3rgQ</t>
  </si>
  <si>
    <t>DLTR</t>
  </si>
  <si>
    <t>DOLLAR TREE INC</t>
  </si>
  <si>
    <t>vQGFKLRSSfmJo7UxKOZ9rQ</t>
  </si>
  <si>
    <t>DOC</t>
  </si>
  <si>
    <t>HEALTHPEAK PROPERTIES INC</t>
  </si>
  <si>
    <t>6PRyALCGQeufHjdOxWWfgg</t>
  </si>
  <si>
    <t>DOCU</t>
  </si>
  <si>
    <t>DOCUSIGN INC</t>
  </si>
  <si>
    <t>VFvwgN.YR-epd1mluV2nCw</t>
  </si>
  <si>
    <t>DOV</t>
  </si>
  <si>
    <t>DOVER CORP</t>
  </si>
  <si>
    <t>M810vgm2QjKhoab2TRD01A</t>
  </si>
  <si>
    <t>DOW</t>
  </si>
  <si>
    <t>DOW INC</t>
  </si>
  <si>
    <t>Iw7550HQSe6u-9A4kr9HkQ</t>
  </si>
  <si>
    <t>DPZ</t>
  </si>
  <si>
    <t>DOMINO S PIZZA INC</t>
  </si>
  <si>
    <t>Zuo6mQoHSGGGs1CJdUsGww</t>
  </si>
  <si>
    <t>Oo7kT57xQUqvW3Ihg5hARg</t>
  </si>
  <si>
    <t>DRI</t>
  </si>
  <si>
    <t>DARDEN RESTAURANTS INC</t>
  </si>
  <si>
    <t>cL-R5ZL2Twiv.OSuFPGFIg</t>
  </si>
  <si>
    <t>piQJx8CYRs64bM25MYq7Bg</t>
  </si>
  <si>
    <t>DT</t>
  </si>
  <si>
    <t>DYNATRACE INC</t>
  </si>
  <si>
    <t>jrQ4XvPHTBqnK5roOqRp1Q</t>
  </si>
  <si>
    <t>DTE</t>
  </si>
  <si>
    <t>DTE ENERGY COMPANY</t>
  </si>
  <si>
    <t>R8bJBqoER72G98KnM8arMQ</t>
  </si>
  <si>
    <t>DUK</t>
  </si>
  <si>
    <t>DUKE ENERGY CORP</t>
  </si>
  <si>
    <t>eYC1wHPoQAKu2Qj7J8sakw</t>
  </si>
  <si>
    <t>DUOL</t>
  </si>
  <si>
    <t>DUOLINGO INC CLASS A</t>
  </si>
  <si>
    <t>Ma2kOQIzS6afZ3-vIPvHag</t>
  </si>
  <si>
    <t>DVA</t>
  </si>
  <si>
    <t>DAVITA INC</t>
  </si>
  <si>
    <t>rbR79-wsTPuun.oXFdG3qg</t>
  </si>
  <si>
    <t>DVN</t>
  </si>
  <si>
    <t>DEVON ENERGY CORP</t>
  </si>
  <si>
    <t>kW4lFtlOTbmx2KXnZS57jw</t>
  </si>
  <si>
    <t>sut4LGUuRH-t2Rzx8DniQA</t>
  </si>
  <si>
    <t>DXCM</t>
  </si>
  <si>
    <t>DEXCOM INC</t>
  </si>
  <si>
    <t>ZGzc55OfQNqphW4vURsP9g</t>
  </si>
  <si>
    <t>QYLxN0COQ9if7MZKqdx4bA</t>
  </si>
  <si>
    <t>EA</t>
  </si>
  <si>
    <t>ELECTRONIC ARTS INC</t>
  </si>
  <si>
    <t>33xGea5tTnOzej7S-6PWnQ</t>
  </si>
  <si>
    <t>EBAY</t>
  </si>
  <si>
    <t>EBAY INC</t>
  </si>
  <si>
    <t>Phn.B6PyQSCoAwo46I1VSw</t>
  </si>
  <si>
    <t>EBF</t>
  </si>
  <si>
    <t>ENNIS INC</t>
  </si>
  <si>
    <t>lkUZ31QuROCjCUWjLhoxjw</t>
  </si>
  <si>
    <t>ECL</t>
  </si>
  <si>
    <t>ECOLAB INC</t>
  </si>
  <si>
    <t>7MaPQgGiS0O.RFRsAm-71A</t>
  </si>
  <si>
    <t>ED</t>
  </si>
  <si>
    <t>CONSOLIDATED EDISON INC</t>
  </si>
  <si>
    <t>x4s0FXkMRqWmpTEW1yWQuw</t>
  </si>
  <si>
    <t>EFX</t>
  </si>
  <si>
    <t>EQUIFAX INC</t>
  </si>
  <si>
    <t>TL74h7hAQjeqnIMWF-.d-A</t>
  </si>
  <si>
    <t>jVDMIzupRsWVtqOyW1SL6Q</t>
  </si>
  <si>
    <t>EG</t>
  </si>
  <si>
    <t>EVEREST GROUP LTD</t>
  </si>
  <si>
    <t>L40oM25KS0CtlTQr2w3A0A</t>
  </si>
  <si>
    <t>EIX</t>
  </si>
  <si>
    <t>EDISON INTERNATIONAL</t>
  </si>
  <si>
    <t>UElQNdw-R7uR1K1TE8laZA</t>
  </si>
  <si>
    <t>EL</t>
  </si>
  <si>
    <t>ESTEE LAUDER COMPANIES CL A</t>
  </si>
  <si>
    <t>vvZVfSGZSiemQ6NAW2FTiA</t>
  </si>
  <si>
    <t>ELV</t>
  </si>
  <si>
    <t>ELEVANCE HEALTH INC</t>
  </si>
  <si>
    <t>Ru-xQw0gSreMRUc8PHcNPg</t>
  </si>
  <si>
    <t>EME</t>
  </si>
  <si>
    <t>EMCOR GROUP INC</t>
  </si>
  <si>
    <t>lta.fQV5SE-AxEkf0s6Pvw</t>
  </si>
  <si>
    <t>c271HFQGTnmvky31Nt4XJA</t>
  </si>
  <si>
    <t>EMR</t>
  </si>
  <si>
    <t>EMERSON ELECTRIC CO</t>
  </si>
  <si>
    <t>TovIOd-DRFe8NOKmW5CbuQ</t>
  </si>
  <si>
    <t>EOG</t>
  </si>
  <si>
    <t>EOG RESOURCES INC</t>
  </si>
  <si>
    <t>Ha2vTJ19QAqnx.wkZOKtVg</t>
  </si>
  <si>
    <t>fqYodQZnQo2n76awyg0vMQ</t>
  </si>
  <si>
    <t>EPAM</t>
  </si>
  <si>
    <t>EPAM SYSTEMS INC</t>
  </si>
  <si>
    <t>YlehhI9iTcmOM-nk5x84WA</t>
  </si>
  <si>
    <t>EQIX</t>
  </si>
  <si>
    <t>EQUINIX REIT INC</t>
  </si>
  <si>
    <t>3g8KPDESSd2b8pGnay2AXQ</t>
  </si>
  <si>
    <t>EQUINIX INC</t>
  </si>
  <si>
    <t>qCcTrzAfQxafZs8r1nNN4w</t>
  </si>
  <si>
    <t>EQR</t>
  </si>
  <si>
    <t>EQUITY RESIDENTIAL</t>
  </si>
  <si>
    <t>uUGaRRkRS4ySl1s5fhPBNA</t>
  </si>
  <si>
    <t>EQT</t>
  </si>
  <si>
    <t>EQT CORP</t>
  </si>
  <si>
    <t>naVbuiqIRYG.VZdSec7dUQ</t>
  </si>
  <si>
    <t>ERIE</t>
  </si>
  <si>
    <t>ERIE INDEMNITY CLASS A</t>
  </si>
  <si>
    <t>GHriQzG9Ra26D93DuDqK3A</t>
  </si>
  <si>
    <t>ERIE INDEMNITY COMPANY CL A</t>
  </si>
  <si>
    <t>5iImeA8PR.Kd8JUBLdqBLA</t>
  </si>
  <si>
    <t>ES</t>
  </si>
  <si>
    <t>EVERSOURCE ENERGY</t>
  </si>
  <si>
    <t>NM5vR1N0QPGsDQuzKcmbvg</t>
  </si>
  <si>
    <t>ESM6</t>
  </si>
  <si>
    <t>S+P500 EMINI FUT JUN26</t>
  </si>
  <si>
    <t>9YpplcL9RDaAgJk8B1DiVw</t>
  </si>
  <si>
    <t>ESS</t>
  </si>
  <si>
    <t>ESSEX PROPERTY TRUST INC</t>
  </si>
  <si>
    <t>NSkvhmooSgSsGVPazSqkTw</t>
  </si>
  <si>
    <t>ESTC</t>
  </si>
  <si>
    <t>ELASTIC NV</t>
  </si>
  <si>
    <t>mu6OkSZRTB6TdM.SCir-Zg</t>
  </si>
  <si>
    <t>ETD</t>
  </si>
  <si>
    <t>ETHAN ALLEN INTERIORS INC</t>
  </si>
  <si>
    <t>LnRBdmYdTHGF6zD1cnfoyQ</t>
  </si>
  <si>
    <t>ETN</t>
  </si>
  <si>
    <t>EATON CORP PLC</t>
  </si>
  <si>
    <t>ctAA2I2jSROuEq1pM2MMig</t>
  </si>
  <si>
    <t>ETR</t>
  </si>
  <si>
    <t>ENTERGY CORP</t>
  </si>
  <si>
    <t>fseIIzFvReWk7SYO4Qu5nA</t>
  </si>
  <si>
    <t>EVRG</t>
  </si>
  <si>
    <t>EVERGY INC</t>
  </si>
  <si>
    <t>u6.oaNsuSMyEkigVcdEdBg</t>
  </si>
  <si>
    <t>EW</t>
  </si>
  <si>
    <t>EDWARDS LIFESCIENCES CORP</t>
  </si>
  <si>
    <t>cnsLpuxmRb26wlIkFeC53g</t>
  </si>
  <si>
    <t>EWBC</t>
  </si>
  <si>
    <t>EAST WEST BANCORP INC</t>
  </si>
  <si>
    <t>PnGJ.luARIShCGWFbr0Ehg</t>
  </si>
  <si>
    <t>EXC</t>
  </si>
  <si>
    <t>EXELON CORPORATION</t>
  </si>
  <si>
    <t>rglSFINCQ2SCkUhebDmJhA</t>
  </si>
  <si>
    <t>EXE</t>
  </si>
  <si>
    <t>EXPAND ENERGY CORP</t>
  </si>
  <si>
    <t>EiRPgBflT9STMJ5VfRrnnA</t>
  </si>
  <si>
    <t>EXPD</t>
  </si>
  <si>
    <t>EXPEDITORS INTL WASH INC</t>
  </si>
  <si>
    <t>d.wtkOJvTbeIZYag3LFJXA</t>
  </si>
  <si>
    <t>EXPE</t>
  </si>
  <si>
    <t>EXPEDIA GROUP INC</t>
  </si>
  <si>
    <t>s4sKf.rkRd-NIr-OvwARSA</t>
  </si>
  <si>
    <t>EXR</t>
  </si>
  <si>
    <t>EXTRA SPACE STORAGE INC</t>
  </si>
  <si>
    <t>3uk7tNgDS7CcVvvGWpCTlA</t>
  </si>
  <si>
    <t>F</t>
  </si>
  <si>
    <t>FORD MOTOR COMPANY</t>
  </si>
  <si>
    <t>1CMNMs6xRImddc2XAdOr2A</t>
  </si>
  <si>
    <t>dIa33U2WSuSqtFofRxUHTQ</t>
  </si>
  <si>
    <t>FANG</t>
  </si>
  <si>
    <t>DIAMONDBACK ENERGY INC</t>
  </si>
  <si>
    <t>K9zmUFG5QWGMPuA0-WrMGw</t>
  </si>
  <si>
    <t>FAST</t>
  </si>
  <si>
    <t>FASTENAL</t>
  </si>
  <si>
    <t>30hjZE53ThWNW4qUZhw2og</t>
  </si>
  <si>
    <t>FASTENAL CO</t>
  </si>
  <si>
    <t>qvWD-TnzR-6NNf7Gk4VC6A</t>
  </si>
  <si>
    <t>FCNCA</t>
  </si>
  <si>
    <t>FIRST CITIZENS BANCSHARES INC CLAS</t>
  </si>
  <si>
    <t>DYz.OzX0QBe7GuMbQekzdw</t>
  </si>
  <si>
    <t>FCX</t>
  </si>
  <si>
    <t>FREEPORT MCMORAN INC</t>
  </si>
  <si>
    <t>nshoLNceTBeTXYrG03ArNg</t>
  </si>
  <si>
    <t>FDS</t>
  </si>
  <si>
    <t>FACTSET RESEARCH SYSTEMS INC</t>
  </si>
  <si>
    <t>a.RcnmmGYRsalO1cfSTHVqA</t>
  </si>
  <si>
    <t>LgMzG-6lQ9eDUDtXNOVZtQ</t>
  </si>
  <si>
    <t>FDX</t>
  </si>
  <si>
    <t>FEDEX CORP</t>
  </si>
  <si>
    <t>0F2J9WVHTWuc4Bb2pyPYEg</t>
  </si>
  <si>
    <t>FE</t>
  </si>
  <si>
    <t>FIRSTENERGY CORP</t>
  </si>
  <si>
    <t>AlLkBZZlQkGgvBPCAgQWQA</t>
  </si>
  <si>
    <t>FFIV</t>
  </si>
  <si>
    <t>F5 INC</t>
  </si>
  <si>
    <t>XnPHPmcQQ1Sgt3JYbv4SsA</t>
  </si>
  <si>
    <t>FHI</t>
  </si>
  <si>
    <t>FEDERATED HERMES INC CLASS B</t>
  </si>
  <si>
    <t>vKvfSFMtRBCSJ5aBWxU4Ag</t>
  </si>
  <si>
    <t>FICO</t>
  </si>
  <si>
    <t>FAIR ISAAC CORP</t>
  </si>
  <si>
    <t>REQ8bfmOSGaVh7LtQiidtw</t>
  </si>
  <si>
    <t>5ya8g4YAQ6aiHz6U5skTfw</t>
  </si>
  <si>
    <t>FIS</t>
  </si>
  <si>
    <t>FIDELITY NATIONAL INFO SERV</t>
  </si>
  <si>
    <t>8wf3fGZHS56YHVcyFhRWWw</t>
  </si>
  <si>
    <t>FISV</t>
  </si>
  <si>
    <t>FISERV INC</t>
  </si>
  <si>
    <t>GaoT-ox9STSVYQAA98b1sQ</t>
  </si>
  <si>
    <t>FITB</t>
  </si>
  <si>
    <t>FIFTH THIRD BANCORP</t>
  </si>
  <si>
    <t>QblT7QN7R7O1w93h.nBSEg</t>
  </si>
  <si>
    <t>Mg8-Z-DpQxmQiPWIAxyBeA</t>
  </si>
  <si>
    <t>FIX</t>
  </si>
  <si>
    <t>COMFORT SYSTEMS USA INC</t>
  </si>
  <si>
    <t>1mKh5RgFRQGgexJbETEw3g</t>
  </si>
  <si>
    <t>r5wZb4QQTEyTzHCzmVslsw</t>
  </si>
  <si>
    <t>FLO</t>
  </si>
  <si>
    <t>FLOWERS FOODS INC</t>
  </si>
  <si>
    <t>UC8UDVYbS9-deRqN8sejfw</t>
  </si>
  <si>
    <t>FLUT</t>
  </si>
  <si>
    <t>FLUTTER ENTERTAINMENT PLC</t>
  </si>
  <si>
    <t>QdIzJGGbTsOaYwo6YZgOwA</t>
  </si>
  <si>
    <t>FNF</t>
  </si>
  <si>
    <t>FIDELITY NATIONAL FINANCIAL INC</t>
  </si>
  <si>
    <t>owPlTaNPSQeIF50MhtIL4Q</t>
  </si>
  <si>
    <t>FOX</t>
  </si>
  <si>
    <t>FOX CORP CLASS B</t>
  </si>
  <si>
    <t>tvA8lLTcSxmkAF-Csg2x9g</t>
  </si>
  <si>
    <t>FOXA</t>
  </si>
  <si>
    <t>FOX CORP CLASS A</t>
  </si>
  <si>
    <t>8f1JRrq-TaytStWo6qEmTA</t>
  </si>
  <si>
    <t>FRT</t>
  </si>
  <si>
    <t>FEDERAL REALTY INVS TRUST</t>
  </si>
  <si>
    <t>K8uctJ1zSweKe8BP56RbPg</t>
  </si>
  <si>
    <t>FSLR</t>
  </si>
  <si>
    <t>FIRST SOLAR INC</t>
  </si>
  <si>
    <t>RMNf9jkUQx22wmqlnAzYbQ</t>
  </si>
  <si>
    <t>FTAI</t>
  </si>
  <si>
    <t>FTAI AVIATION LTD</t>
  </si>
  <si>
    <t>13jF7SaBSNGOMusFe23K-w</t>
  </si>
  <si>
    <t>FTNT</t>
  </si>
  <si>
    <t>FORTINET INC</t>
  </si>
  <si>
    <t>ScYRh9UmQNWHkKr7YKXmyA</t>
  </si>
  <si>
    <t>lG.tzllbSVyeonhYgCe8tg</t>
  </si>
  <si>
    <t>FTV</t>
  </si>
  <si>
    <t>FORTIVE CORP</t>
  </si>
  <si>
    <t>qeIkJWEJSq6zUsC3WmZuYQ</t>
  </si>
  <si>
    <t>FWONK</t>
  </si>
  <si>
    <t>LIBERTY MEDIA FORMULA ONE SERIES C</t>
  </si>
  <si>
    <t>u9apoXzUToKxNocREC12lQ</t>
  </si>
  <si>
    <t>GABC</t>
  </si>
  <si>
    <t>GERMAN AMERICAN BANCORP INC</t>
  </si>
  <si>
    <t>mEXuwudVTlqGu2RcrFPCGA</t>
  </si>
  <si>
    <t>GD</t>
  </si>
  <si>
    <t>GENERAL DYNAMICS CORP</t>
  </si>
  <si>
    <t>5VIMWETCQYaYL6Utk6k8nA</t>
  </si>
  <si>
    <t>GDDY</t>
  </si>
  <si>
    <t>GODADDY INC CLASS A</t>
  </si>
  <si>
    <t>1mPQX60gRIKKFEBrNXqfFw</t>
  </si>
  <si>
    <t>H7m6VJRaTj-28tD1lmLRqg</t>
  </si>
  <si>
    <t>GE</t>
  </si>
  <si>
    <t>GE AEROSPACE</t>
  </si>
  <si>
    <t>qw9KqmRFQt-PQ2LS-K.SfQ</t>
  </si>
  <si>
    <t>GENERAL ELECTRIC</t>
  </si>
  <si>
    <t>pRQG2b5.RDeKO1TAN2D7sg</t>
  </si>
  <si>
    <t>GEHC</t>
  </si>
  <si>
    <t>GE HEALTHCARE TECHNOLOGY</t>
  </si>
  <si>
    <t>32xEaNsAQJehx2-AYu4gdw</t>
  </si>
  <si>
    <t>GEN</t>
  </si>
  <si>
    <t>GEN DIGITAL INC</t>
  </si>
  <si>
    <t>uf2T74CrS3O33R8FsXX-hw</t>
  </si>
  <si>
    <t>GEV</t>
  </si>
  <si>
    <t>GE VERNOVA INC</t>
  </si>
  <si>
    <t>a--xbsP8eSlGnauMftyJl0A</t>
  </si>
  <si>
    <t>n8-V3rR0Q4SHEpdPBUtotQ</t>
  </si>
  <si>
    <t>GILD</t>
  </si>
  <si>
    <t>GILEAD SCIENCES INC</t>
  </si>
  <si>
    <t>YoP6hMLGSKy1K7wLfiCO7w</t>
  </si>
  <si>
    <t>GIS</t>
  </si>
  <si>
    <t>GENERAL MILLS INC</t>
  </si>
  <si>
    <t>RqpcDqCiTwW-qC-AqD94Xw</t>
  </si>
  <si>
    <t>UdXsYjZwTna.ab7AVsuuFA</t>
  </si>
  <si>
    <t>GL</t>
  </si>
  <si>
    <t>GLOBE LIFE INC</t>
  </si>
  <si>
    <t>vkmPsD3dQyakhCvsmbpRMA</t>
  </si>
  <si>
    <t>GLW</t>
  </si>
  <si>
    <t>CORNING INC</t>
  </si>
  <si>
    <t>DyQJhmR2RZK-KPj8kBYgDg</t>
  </si>
  <si>
    <t>GM</t>
  </si>
  <si>
    <t>GENERAL MOTORS CO</t>
  </si>
  <si>
    <t>WPywE3NUQU-Kcb1ZIfrA1w</t>
  </si>
  <si>
    <t>GNRC</t>
  </si>
  <si>
    <t>GENERAC HOLDINGS INC</t>
  </si>
  <si>
    <t>GK0NV5dpR126uOR7VZcC8g</t>
  </si>
  <si>
    <t>hnDSvGfwRaG30c0cErkFtw</t>
  </si>
  <si>
    <t>GOOG</t>
  </si>
  <si>
    <t>ALPHABET INC CLASS C</t>
  </si>
  <si>
    <t>pTNhY2MMRFCk09KbER0-CQ</t>
  </si>
  <si>
    <t>ALPHABET INC CL C</t>
  </si>
  <si>
    <t>Pc4F4AzwQR-Z2RjBkIO38Q</t>
  </si>
  <si>
    <t>GOOGL</t>
  </si>
  <si>
    <t>ALPHABET INC CLASS A</t>
  </si>
  <si>
    <t>CTWikq2iTeCa3n5VWwTUxg</t>
  </si>
  <si>
    <t>ALPHABET INC CL A</t>
  </si>
  <si>
    <t>QMBvmFEHSWCLM5asgSWh-g</t>
  </si>
  <si>
    <t>GPC</t>
  </si>
  <si>
    <t>GENUINE PARTS CO</t>
  </si>
  <si>
    <t>cpyifE3tRkSxmyScqCSuSA</t>
  </si>
  <si>
    <t>GPN</t>
  </si>
  <si>
    <t>GLOBAL PAYMENTS INC</t>
  </si>
  <si>
    <t>bRsMHGqTSEKWPFUDqWlD7g</t>
  </si>
  <si>
    <t>GRMN</t>
  </si>
  <si>
    <t>GARMIN LTD</t>
  </si>
  <si>
    <t>yp7adFfLTgWys9R4aTgVQQ</t>
  </si>
  <si>
    <t>GS</t>
  </si>
  <si>
    <t>GOLDMAN SACHS GROUP INC</t>
  </si>
  <si>
    <t>oc4EFc-GShymuekJpD7LKg</t>
  </si>
  <si>
    <t>GVMXX</t>
  </si>
  <si>
    <t>SSC GOVERNMENT MM GVMXX</t>
  </si>
  <si>
    <t>8SOrZycaTX-1YDOskdgyvg</t>
  </si>
  <si>
    <t>vafluNWMRO6.q-PMiZJ1UQ</t>
  </si>
  <si>
    <t>GWW</t>
  </si>
  <si>
    <t>WW GRAINGER INC</t>
  </si>
  <si>
    <t>HiS9q8RFQbGxmVpDChqZLg</t>
  </si>
  <si>
    <t>8hB5c13fQfmXZ90IPuAWaA</t>
  </si>
  <si>
    <t>HAFC</t>
  </si>
  <si>
    <t>HANMI FINANCIAL CORP</t>
  </si>
  <si>
    <t>2I9962AGQ0KWoCxESoI.1Q</t>
  </si>
  <si>
    <t>HAL</t>
  </si>
  <si>
    <t>HALLIBURTON CO</t>
  </si>
  <si>
    <t>f3XjCUt0Q0GUIv-ZqoOu4A</t>
  </si>
  <si>
    <t>HAS</t>
  </si>
  <si>
    <t>HASBRO INC</t>
  </si>
  <si>
    <t>ZyAkDab2T1yILhJ5a5.6Zg</t>
  </si>
  <si>
    <t>HBAN</t>
  </si>
  <si>
    <t>HUNTINGTON BANCSHARES INC</t>
  </si>
  <si>
    <t>rScE4K8kQFyTofGy70T2Zg</t>
  </si>
  <si>
    <t>HCA</t>
  </si>
  <si>
    <t>HCA HEALTHCARE INC</t>
  </si>
  <si>
    <t>mcRx3iP8TUyMgYPWPzj.5Q</t>
  </si>
  <si>
    <t>HD</t>
  </si>
  <si>
    <t>HOME DEPOT INC</t>
  </si>
  <si>
    <t>m1EJVG.nTC-b4neudKt9dA</t>
  </si>
  <si>
    <t>f1rnbpbXQH-hgiVeI3.Xug</t>
  </si>
  <si>
    <t>HEI</t>
  </si>
  <si>
    <t>HEICO CORP</t>
  </si>
  <si>
    <t>7xLUPf2DTyqpQxHWqpxtMw</t>
  </si>
  <si>
    <t>HIG</t>
  </si>
  <si>
    <t>HARTFORD INSURANCE GROUP INC</t>
  </si>
  <si>
    <t>9XE-DhK8REC5QoexzWrzFg</t>
  </si>
  <si>
    <t>HII</t>
  </si>
  <si>
    <t>HUNTINGTON INGALLS INDUSTRIE</t>
  </si>
  <si>
    <t>fju9exUuRcGPgFsyJqDtwg</t>
  </si>
  <si>
    <t>HLT</t>
  </si>
  <si>
    <t>HILTON WORLDWIDE HOLDINGS INC</t>
  </si>
  <si>
    <t>VxquYjXbRzCsyNBA3Jm08Q</t>
  </si>
  <si>
    <t>HILTON WORLDWIDE HOLDINGS IN</t>
  </si>
  <si>
    <t>K8Cz-wvySZGMs.zQAnviQQ</t>
  </si>
  <si>
    <t>HON</t>
  </si>
  <si>
    <t>HONEYWELL INTERNATIONAL INC</t>
  </si>
  <si>
    <t>kCOtBktySTytCc7MQTjynQ</t>
  </si>
  <si>
    <t>HOOD</t>
  </si>
  <si>
    <t>ROBINHOOD MARKETS INC CLASS A</t>
  </si>
  <si>
    <t>UEWjK9RkTAugGlKmpP.Tdw</t>
  </si>
  <si>
    <t>ROBINHOOD MARKETS INC A</t>
  </si>
  <si>
    <t>QVA7AJgNQP2kJOGl129VAA</t>
  </si>
  <si>
    <t>HPE</t>
  </si>
  <si>
    <t>HEWLETT PACKARD ENTERPRISE</t>
  </si>
  <si>
    <t>L-3KmXIdQ.SC9Z.B2mYH2Q</t>
  </si>
  <si>
    <t>HPQ</t>
  </si>
  <si>
    <t>HP INC</t>
  </si>
  <si>
    <t>OPa4mrXWTXiQL3ag1IoGpg</t>
  </si>
  <si>
    <t>HRL</t>
  </si>
  <si>
    <t>HORMEL FOODS CORP</t>
  </si>
  <si>
    <t>jErGO3PXQqmxayv3JVrH8A</t>
  </si>
  <si>
    <t>HSIC</t>
  </si>
  <si>
    <t>HENRY SCHEIN INC</t>
  </si>
  <si>
    <t>8NqfjWHHTRyRl15nJThbQw</t>
  </si>
  <si>
    <t>HST</t>
  </si>
  <si>
    <t>HOST HOTELS + RESORTS INC</t>
  </si>
  <si>
    <t>ZnxM9HokSHS-6gjZ1Z0xOw</t>
  </si>
  <si>
    <t>HSY</t>
  </si>
  <si>
    <t>HERSHEY FOODS</t>
  </si>
  <si>
    <t>UBjxu4.1RPq3L6PBRg9cPw</t>
  </si>
  <si>
    <t>HERSHEY CO/THE</t>
  </si>
  <si>
    <t>blG-R1AWS4WB33pw4aJ1Bg</t>
  </si>
  <si>
    <t>HUBB</t>
  </si>
  <si>
    <t>HUBBELL INC</t>
  </si>
  <si>
    <t>ZefA5mDYSWGdGzwlVdCxaQ</t>
  </si>
  <si>
    <t>HUBS</t>
  </si>
  <si>
    <t>HUBSPOT INC</t>
  </si>
  <si>
    <t>f796F3Y0QTa64Bi0Ju73AQ</t>
  </si>
  <si>
    <t>HUM</t>
  </si>
  <si>
    <t>HUMANA INC</t>
  </si>
  <si>
    <t>GLVRw9EkTgW.cDEamSw.TA</t>
  </si>
  <si>
    <t>XCoxf5NETzyz7r4gWwGeXg</t>
  </si>
  <si>
    <t>HWM</t>
  </si>
  <si>
    <t>HOWMET AEROSPACE INC</t>
  </si>
  <si>
    <t>dKYEdbqvSGqn0J5Z6Js8EQ</t>
  </si>
  <si>
    <t>IBCP</t>
  </si>
  <si>
    <t>INDEPENDENT BANK CORP</t>
  </si>
  <si>
    <t>0adETQRNTnqVKYPwu6.tUA</t>
  </si>
  <si>
    <t>IBKR</t>
  </si>
  <si>
    <t>INTERACTIVE BROKERS GROUP INC CLAS</t>
  </si>
  <si>
    <t>9Qc7qvV0S2ypTEZ-MDA1lA</t>
  </si>
  <si>
    <t>INTERACTIVE BROKERS GRO CL A</t>
  </si>
  <si>
    <t>Z5RtmD6kQPW2LJ9y17CNJg</t>
  </si>
  <si>
    <t>IBM</t>
  </si>
  <si>
    <t>INTL BUSINESS MACHINES CORP</t>
  </si>
  <si>
    <t>ehMNrUpmQa2q-DmBDKJiMA</t>
  </si>
  <si>
    <t>ICE</t>
  </si>
  <si>
    <t>INTERCONTINENTAL EXCHANGE IN</t>
  </si>
  <si>
    <t>nEFE2gIARkKu-sy-Phwz8g</t>
  </si>
  <si>
    <t>IDXX</t>
  </si>
  <si>
    <t>IDEXX LABORATORIES INC</t>
  </si>
  <si>
    <t>2dH4Dqi-SwiR5DQDtYJ1Tw</t>
  </si>
  <si>
    <t>a.QY-m-jYTqOGViD2G82IOA</t>
  </si>
  <si>
    <t>IEX</t>
  </si>
  <si>
    <t>IDEX CORP</t>
  </si>
  <si>
    <t>AcpYsKmhRtCOc4oYx8LWlw</t>
  </si>
  <si>
    <t>IFF</t>
  </si>
  <si>
    <t>INTL FLAVORS + FRAGRANCES</t>
  </si>
  <si>
    <t>S9ssgaC.Q263GnpNaXxPfQ</t>
  </si>
  <si>
    <t>INCY</t>
  </si>
  <si>
    <t>INCYTE CORP</t>
  </si>
  <si>
    <t>rCNJiPXeSZujss2Yu.5j0Q</t>
  </si>
  <si>
    <t>INSM</t>
  </si>
  <si>
    <t>INSMED INC</t>
  </si>
  <si>
    <t>9b5GOa-PQgGKTfkcxbePdQ</t>
  </si>
  <si>
    <t>INTC</t>
  </si>
  <si>
    <t>INTEL CORPORATION</t>
  </si>
  <si>
    <t>I7tSA6ljS5y5gPdqLRteEg</t>
  </si>
  <si>
    <t>INTU</t>
  </si>
  <si>
    <t>INTUIT INC</t>
  </si>
  <si>
    <t>UXEd2hB-S.CvUfBrJiHzHQ</t>
  </si>
  <si>
    <t>Pb9oxGrxSteYIQJ-9yFLNw</t>
  </si>
  <si>
    <t>INVH</t>
  </si>
  <si>
    <t>INVITATION HOMES INC</t>
  </si>
  <si>
    <t>BNPlhJlGRJW--ovEc.NgTg</t>
  </si>
  <si>
    <t>IP</t>
  </si>
  <si>
    <t>INTERNATIONAL PAPER CO</t>
  </si>
  <si>
    <t>jmHLIf0lSDiPwcxKaKlNow</t>
  </si>
  <si>
    <t>IPAR</t>
  </si>
  <si>
    <t>INTERPARFUMS INC</t>
  </si>
  <si>
    <t>qRd0Kj6ZRyKcbIDFeENM8A</t>
  </si>
  <si>
    <t>IQV</t>
  </si>
  <si>
    <t>IQVIA HOLDINGS INC</t>
  </si>
  <si>
    <t>WElvrihgRRCZy5cR3a8krg</t>
  </si>
  <si>
    <t>0LcOfDUyTMmEeXnhf3lNGg</t>
  </si>
  <si>
    <t>IR</t>
  </si>
  <si>
    <t>INGERSOLL RAND INC</t>
  </si>
  <si>
    <t>k7DuzGxKQGWeLeI84pdYCg</t>
  </si>
  <si>
    <t>IRM</t>
  </si>
  <si>
    <t>IRON MOUNTAIN INC</t>
  </si>
  <si>
    <t>nTyp2VhtTKGgecbMyAuYXQ</t>
  </si>
  <si>
    <t>ISRG</t>
  </si>
  <si>
    <t>INTUITIVE SURGICAL INC</t>
  </si>
  <si>
    <t>dhuQQ3P6RZWFudaHxHUPeA</t>
  </si>
  <si>
    <t>qfa1t84PSgexm4.3-vm-Kw</t>
  </si>
  <si>
    <t>IT</t>
  </si>
  <si>
    <t>GARTNER INC</t>
  </si>
  <si>
    <t>kJcmj.rkQL-wae5ijrw6uA</t>
  </si>
  <si>
    <t>ITW</t>
  </si>
  <si>
    <t>ILLINOIS TOOL WORKS</t>
  </si>
  <si>
    <t>1qbo.7ZTQbWq0ZeFISXt4w</t>
  </si>
  <si>
    <t>IVZ</t>
  </si>
  <si>
    <t>INVESCO LTD</t>
  </si>
  <si>
    <t>4qvDti8HT-e8ZbguP5WJjQ</t>
  </si>
  <si>
    <t>J</t>
  </si>
  <si>
    <t>JACOBS SOLUTIONS INC</t>
  </si>
  <si>
    <t>a-cdAXpWbTmeO2eHd6XL1HA</t>
  </si>
  <si>
    <t>JBHT</t>
  </si>
  <si>
    <t>HUNT (JB) TRANSPRT SVCS INC</t>
  </si>
  <si>
    <t>vIbf.rrRQZSR.ldoRXGrEg</t>
  </si>
  <si>
    <t>JBL</t>
  </si>
  <si>
    <t>JABIL INC</t>
  </si>
  <si>
    <t>HgtYZEeRQy22nTS4wQueWw</t>
  </si>
  <si>
    <t>JCI</t>
  </si>
  <si>
    <t>JOHNSON CONTROLS INTERNATION</t>
  </si>
  <si>
    <t>TwB1-u0-S7GkArljFO8YSg</t>
  </si>
  <si>
    <t>JKHY</t>
  </si>
  <si>
    <t>JACK HENRY + ASSOCIATES INC</t>
  </si>
  <si>
    <t>dotbmgS7SWy5ab8Q3xFkfQ</t>
  </si>
  <si>
    <t>JNJ</t>
  </si>
  <si>
    <t>JOHNSON + JOHNSON</t>
  </si>
  <si>
    <t>TSF8ldcFR7-m9.VVudMysw</t>
  </si>
  <si>
    <t>JPM</t>
  </si>
  <si>
    <t>JPMORGAN CHASE + CO</t>
  </si>
  <si>
    <t>qNNOSFv-QnGCDXGbd-odCQ</t>
  </si>
  <si>
    <t>KDP</t>
  </si>
  <si>
    <t>KEURIG DR PEPPER INC</t>
  </si>
  <si>
    <t>p-IJy33PRk2JivI5XaelFQ</t>
  </si>
  <si>
    <t>KEY</t>
  </si>
  <si>
    <t>KEYCORP</t>
  </si>
  <si>
    <t>CaPOgBP.TZS-H0UKTZ1bUQ</t>
  </si>
  <si>
    <t>KEYS</t>
  </si>
  <si>
    <t>KEYSIGHT TECHNOLOGIES IN</t>
  </si>
  <si>
    <t>xvASFzCQRBy3zQiVrO6zgQ</t>
  </si>
  <si>
    <t>KFY</t>
  </si>
  <si>
    <t>KORN FERRY</t>
  </si>
  <si>
    <t>3o5L8zp3Rd-RajogOBKKWw</t>
  </si>
  <si>
    <t>KHC</t>
  </si>
  <si>
    <t>KRAFT HEINZ CO/THE</t>
  </si>
  <si>
    <t>pKViaiWFSpOiBOFIt-B6iw</t>
  </si>
  <si>
    <t>KIM</t>
  </si>
  <si>
    <t>KIMCO REALTY CORP</t>
  </si>
  <si>
    <t>571k.kVYQRGHgUovMK8x7Q</t>
  </si>
  <si>
    <t>KKR</t>
  </si>
  <si>
    <t>KKR AND CO INC</t>
  </si>
  <si>
    <t>hJIZVcf1Qz-4Q4TTfsCitw</t>
  </si>
  <si>
    <t>KKR + CO INC</t>
  </si>
  <si>
    <t>84iJV9DVQz2MpGahAObw9A</t>
  </si>
  <si>
    <t>KLAC</t>
  </si>
  <si>
    <t>KLA CORP</t>
  </si>
  <si>
    <t>h.TL4iAzQXua.19L4K4nEQ</t>
  </si>
  <si>
    <t>s4h2ZsCbSliKZTsaUNlgpQ</t>
  </si>
  <si>
    <t>KMB</t>
  </si>
  <si>
    <t>KIMBERLY CLARK CORP</t>
  </si>
  <si>
    <t>Y04w6dEiS96gufLE1ax7ng</t>
  </si>
  <si>
    <t>V416NJgdRB2.UpkdQKdgLw</t>
  </si>
  <si>
    <t>KMI</t>
  </si>
  <si>
    <t>KINDER MORGAN INC</t>
  </si>
  <si>
    <t>47I6TZDnQ1-rJ8jC3loPhw</t>
  </si>
  <si>
    <t>KNSL</t>
  </si>
  <si>
    <t>KINSALE CAPITAL GROUP INC</t>
  </si>
  <si>
    <t>nNL-lOtTSzGp0ZFjTw-atA</t>
  </si>
  <si>
    <t>KO</t>
  </si>
  <si>
    <t>COCA-COLA</t>
  </si>
  <si>
    <t>vocST9TQQbCIrhlgkq18Nw</t>
  </si>
  <si>
    <t>COCA COLA CO/THE</t>
  </si>
  <si>
    <t>lfga7R8WRUWhcBhsvx5q5g</t>
  </si>
  <si>
    <t>KR</t>
  </si>
  <si>
    <t>KROGER CO</t>
  </si>
  <si>
    <t>8cFCxiTpRgKaeEbd5L69jg</t>
  </si>
  <si>
    <t>KVUE</t>
  </si>
  <si>
    <t>KENVUE INC</t>
  </si>
  <si>
    <t>M-jXc6CjQIaaEFIn-Q7HKQ</t>
  </si>
  <si>
    <t>L</t>
  </si>
  <si>
    <t>LOEWS CORPORATION</t>
  </si>
  <si>
    <t>1pYyvUh.QxiGuMaycEG-LQ</t>
  </si>
  <si>
    <t>LBRDK</t>
  </si>
  <si>
    <t>LIBERTY BROADBAND CORP SERIES C</t>
  </si>
  <si>
    <t>bNX0B5hgSla-9beVhBHbEQ</t>
  </si>
  <si>
    <t>LDOS</t>
  </si>
  <si>
    <t>LEIDOS HOLDINGS INC</t>
  </si>
  <si>
    <t>v8pTKHhhRl2myPJ4bwOKHw</t>
  </si>
  <si>
    <t>LEN</t>
  </si>
  <si>
    <t>LENNAR CORP W/D</t>
  </si>
  <si>
    <t>FrnV6NeeSBitTIXJ6guN8Q</t>
  </si>
  <si>
    <t>LH</t>
  </si>
  <si>
    <t>LABCORP HOLDINGS INC</t>
  </si>
  <si>
    <t>fuQpw045RHaLV2T5ex681w</t>
  </si>
  <si>
    <t>LHX</t>
  </si>
  <si>
    <t>L3HARRIS TECHNOLOGIES INC</t>
  </si>
  <si>
    <t>r3uo86kpS16IbZJti4KvTw</t>
  </si>
  <si>
    <t>LII</t>
  </si>
  <si>
    <t>LENNOX INTERNATIONAL INC</t>
  </si>
  <si>
    <t>pAYtgjl7QfmbmuWHE9bGYg</t>
  </si>
  <si>
    <t>PByqLYedRJyyk83.E38.lA</t>
  </si>
  <si>
    <t>LIN</t>
  </si>
  <si>
    <t>LINDE PLC</t>
  </si>
  <si>
    <t>yoxRIP40RCe6gCEAJFv6gA</t>
  </si>
  <si>
    <t>EGh99MKTTByw3rUjjDDldA</t>
  </si>
  <si>
    <t>LITE</t>
  </si>
  <si>
    <t>LUMENTUM HOLDINGS INC</t>
  </si>
  <si>
    <t>OnnNnMCSTPi6Oj9qoHN0oA</t>
  </si>
  <si>
    <t>LKFN</t>
  </si>
  <si>
    <t>LAKELAND FINANCIAL CORP</t>
  </si>
  <si>
    <t>AQctOjirRGOlE.CjDfA6Uw</t>
  </si>
  <si>
    <t>LLY</t>
  </si>
  <si>
    <t>ELI LILLY</t>
  </si>
  <si>
    <t>7x3p3DaHQJeBdTxKfcyOpQ</t>
  </si>
  <si>
    <t>ELI LILLY + CO</t>
  </si>
  <si>
    <t>FQ7tRemISBGZcUUS4n0.pg</t>
  </si>
  <si>
    <t>LMT</t>
  </si>
  <si>
    <t>LOCKHEED MARTIN CORPORATION</t>
  </si>
  <si>
    <t>mZWY.P3sSq2sYRO0PKG0Hg</t>
  </si>
  <si>
    <t>W9tB4ChVQ2aXrYpAg2yfLw</t>
  </si>
  <si>
    <t>LNT</t>
  </si>
  <si>
    <t>ALLIANT ENERGY CORP</t>
  </si>
  <si>
    <t>oqfgEKJRRtGed6JcfPdjOw</t>
  </si>
  <si>
    <t>LOW</t>
  </si>
  <si>
    <t>LOWE S COS INC</t>
  </si>
  <si>
    <t>YE8HqKczRjCeEdGlVwwZMA</t>
  </si>
  <si>
    <t>LPLA</t>
  </si>
  <si>
    <t>LPL HOLDINGS INC</t>
  </si>
  <si>
    <t>OjdfREnZSn2Egn0BYpup0g</t>
  </si>
  <si>
    <t>LRCX</t>
  </si>
  <si>
    <t>LAM RESEARCH CORP</t>
  </si>
  <si>
    <t>a.CONbuDCTiSF4T5NsXQxFQ</t>
  </si>
  <si>
    <t>LULU</t>
  </si>
  <si>
    <t>LULULEMON ATHLETICA INC</t>
  </si>
  <si>
    <t>A45VzniIQza0keGLFa3AiQ</t>
  </si>
  <si>
    <t>1CGXDre9S-i4FziY2k7Opw</t>
  </si>
  <si>
    <t>LUV</t>
  </si>
  <si>
    <t>SOUTHWEST AIRLINES CO</t>
  </si>
  <si>
    <t>sD7JeF-kTvSWLkqQ.IIzlQ</t>
  </si>
  <si>
    <t>LVS</t>
  </si>
  <si>
    <t>LAS VEGAS SANDS CORP</t>
  </si>
  <si>
    <t>7ieIBZfMR1qUxCEUdenByw</t>
  </si>
  <si>
    <t>LYB</t>
  </si>
  <si>
    <t>LYONDELLBASELL INDU CL A</t>
  </si>
  <si>
    <t>TzHL7CniRcCXmLTmfoOArA</t>
  </si>
  <si>
    <t>LYV</t>
  </si>
  <si>
    <t>LIVE NATION ENTERTAINMENT INC</t>
  </si>
  <si>
    <t>bIt02FJ8RvSFghyJIWsCMg</t>
  </si>
  <si>
    <t>LIVE NATION ENTERTAINMENT IN</t>
  </si>
  <si>
    <t>7Jhr37AzQceAr7L5rQ0XlA</t>
  </si>
  <si>
    <t>M</t>
  </si>
  <si>
    <t>MACYS INC</t>
  </si>
  <si>
    <t>9XIGrMVASruE50DMlb9fJA</t>
  </si>
  <si>
    <t>MA</t>
  </si>
  <si>
    <t>MASTERCARD INC CLASS A</t>
  </si>
  <si>
    <t>i7A5TKO-QJ2U7m-nxuqq8Q</t>
  </si>
  <si>
    <t>MASTERCARD INC A</t>
  </si>
  <si>
    <t>RfhxBGFEQwGzM7JPDjoFzg</t>
  </si>
  <si>
    <t>MAA</t>
  </si>
  <si>
    <t>MID AMERICA APARTMENT COMM</t>
  </si>
  <si>
    <t>uRYuLNvdRsyGgtPiQD2PbQ</t>
  </si>
  <si>
    <t>MAR</t>
  </si>
  <si>
    <t>MARRIOTT INTERNATIONAL INC CLASS A</t>
  </si>
  <si>
    <t>l-Ti189zRumpdF0DvATGLg</t>
  </si>
  <si>
    <t>MARRIOTT INTERNATIONAL CL A</t>
  </si>
  <si>
    <t>8k6lI2NqQg6MCcQ3lr3Wtw</t>
  </si>
  <si>
    <t>MAS</t>
  </si>
  <si>
    <t>MASCO CORP</t>
  </si>
  <si>
    <t>6.LCTHmrQ.uCgN1aUSnM2g</t>
  </si>
  <si>
    <t>MC</t>
  </si>
  <si>
    <t>MOELIS CLASS A</t>
  </si>
  <si>
    <t>a-awdmmNRREiuYa-Xn54CxQ</t>
  </si>
  <si>
    <t>MCD</t>
  </si>
  <si>
    <t>MCDONALD S CORP</t>
  </si>
  <si>
    <t>FK4xzNzdTia43owD4lb2kA</t>
  </si>
  <si>
    <t>MCHP</t>
  </si>
  <si>
    <t>MICROCHIP TECHNOLOGY INC</t>
  </si>
  <si>
    <t>Zzrjcp0kQuOl9faJWZpz7A</t>
  </si>
  <si>
    <t>MCK</t>
  </si>
  <si>
    <t>MCKESSON CORP</t>
  </si>
  <si>
    <t>1fSaIdoNTOSX2wpXe-S9ww</t>
  </si>
  <si>
    <t>at6MkCWWRvOHCcMiuDXQ8w</t>
  </si>
  <si>
    <t>MCO</t>
  </si>
  <si>
    <t>MOODY S CORP</t>
  </si>
  <si>
    <t>7ero1LqFQCWttF10Js7CMA</t>
  </si>
  <si>
    <t>OCJdR6mdQoeGlufFt4oflg</t>
  </si>
  <si>
    <t>MDB</t>
  </si>
  <si>
    <t>MONGODB INC CLASS A</t>
  </si>
  <si>
    <t>JMFmmFH1TomFiVgKYu2W-g</t>
  </si>
  <si>
    <t>MDLZ</t>
  </si>
  <si>
    <t>MONDELEZ INTERNATIONAL INC A</t>
  </si>
  <si>
    <t>UOVH3mB5Tni-6Xutk0upNA</t>
  </si>
  <si>
    <t>MDT</t>
  </si>
  <si>
    <t>MEDTRONIC PLC</t>
  </si>
  <si>
    <t>fiJvegRMTH6K7RMjPAxg2g</t>
  </si>
  <si>
    <t>MEDP</t>
  </si>
  <si>
    <t>MEDPACE HOLDINGS INC</t>
  </si>
  <si>
    <t>oyOb3O9QSOy1nkQqKZqO9A</t>
  </si>
  <si>
    <t>MET</t>
  </si>
  <si>
    <t>METLIFE INC</t>
  </si>
  <si>
    <t>79tFRZ9KQk2OxBI-jH2uLA</t>
  </si>
  <si>
    <t>META</t>
  </si>
  <si>
    <t>META PLATFORMS INC CLASS A</t>
  </si>
  <si>
    <t>HFjGpQMpQMGr3n-SiRVogg</t>
  </si>
  <si>
    <t>JlUrD5Y2R5qQJfXBvrU73Q</t>
  </si>
  <si>
    <t>MGM</t>
  </si>
  <si>
    <t>MGM RESORTS INTERNATIONAL</t>
  </si>
  <si>
    <t>l81SzpFlSXm3zNYYGb9mlw</t>
  </si>
  <si>
    <t>MKC</t>
  </si>
  <si>
    <t>MCCORMICK + CO NON VTG SHRS</t>
  </si>
  <si>
    <t>oITIylRxQKm-mJkMRkoP4Q</t>
  </si>
  <si>
    <t>MKL</t>
  </si>
  <si>
    <t>MARKEL GROUP INC</t>
  </si>
  <si>
    <t>pAR9OtU9TXOLPsolM31e4g</t>
  </si>
  <si>
    <t>MLM</t>
  </si>
  <si>
    <t>MARTIN MARIETTA MATERIALS INC</t>
  </si>
  <si>
    <t>a.AbuPFgcSaml8RiqoHyJtw</t>
  </si>
  <si>
    <t>MARTIN MARIETTA MATERIALS</t>
  </si>
  <si>
    <t>RNtt6swFQX6tO7kTX6j6gA</t>
  </si>
  <si>
    <t>MMM</t>
  </si>
  <si>
    <t>3M CO</t>
  </si>
  <si>
    <t>ela.EquGRYaathUC53RiwQ</t>
  </si>
  <si>
    <t>MNST</t>
  </si>
  <si>
    <t>MONSTER BEVERAGE CORP</t>
  </si>
  <si>
    <t>PryIhwSTSMiNWlQQgG5FXA</t>
  </si>
  <si>
    <t>MO</t>
  </si>
  <si>
    <t>ALTRIA GROUP INC</t>
  </si>
  <si>
    <t>WLR6tW1gQVO.CmP6wZp3bQ</t>
  </si>
  <si>
    <t>5v8rYkjpQgOTKQ6Vtknokg</t>
  </si>
  <si>
    <t>MOS</t>
  </si>
  <si>
    <t>MOSAIC CO/THE</t>
  </si>
  <si>
    <t>Mq3iscCnTgCqZRjIZvwWqw</t>
  </si>
  <si>
    <t>MPC</t>
  </si>
  <si>
    <t>MARATHON PETROLEUM CORP</t>
  </si>
  <si>
    <t>Wv-b4essQF2t2mg0OHy89w</t>
  </si>
  <si>
    <t>MPWR</t>
  </si>
  <si>
    <t>MONOLITHIC POWER SYSTEMS INC</t>
  </si>
  <si>
    <t>DXpGLTf0T.6.i27JE7rZ3Q</t>
  </si>
  <si>
    <t>Qf7vLMAHT1KXf8rvi.8-6g</t>
  </si>
  <si>
    <t>MRK</t>
  </si>
  <si>
    <t>MERCK &amp; CO INC</t>
  </si>
  <si>
    <t>4wV1cg4qSLe6dJIRjo1ZCA</t>
  </si>
  <si>
    <t>MERCK + CO. INC.</t>
  </si>
  <si>
    <t>s2KVi2H6RcurFSoyJT-J7g</t>
  </si>
  <si>
    <t>MRNA</t>
  </si>
  <si>
    <t>MODERNA INC</t>
  </si>
  <si>
    <t>hgOPVdtmTa6Z7.foImaS5A</t>
  </si>
  <si>
    <t>c3yLIvvHSdKltQpfJeR3-Q</t>
  </si>
  <si>
    <t>MRSH</t>
  </si>
  <si>
    <t>MARSH + MCLENNAN COS</t>
  </si>
  <si>
    <t>N4NXzQ2zSG-JY9bNTa8j8w</t>
  </si>
  <si>
    <t>MS</t>
  </si>
  <si>
    <t>MORGAN STANLEY</t>
  </si>
  <si>
    <t>o0P-hNVwSn254WXtdHq.bw</t>
  </si>
  <si>
    <t>MSCI</t>
  </si>
  <si>
    <t>MSCI INC</t>
  </si>
  <si>
    <t>FL1JNeN7S4Gs2OD0RAVzkQ</t>
  </si>
  <si>
    <t>DOwmwMmURVeUAje3iQW3HQ</t>
  </si>
  <si>
    <t>MSFT</t>
  </si>
  <si>
    <t>MICROSOFT CORP</t>
  </si>
  <si>
    <t>YQiEg5oIRmO3uUMbEvhjrQ</t>
  </si>
  <si>
    <t>jdJ-yjoqT6KHPPrFWKB3CA</t>
  </si>
  <si>
    <t>MSI</t>
  </si>
  <si>
    <t>MOTOROLA SOLUTIONS INC</t>
  </si>
  <si>
    <t>fwgr5-W1QPOrBU2WPAkopA</t>
  </si>
  <si>
    <t>MSM</t>
  </si>
  <si>
    <t>MSC INDUSTRIAL INC CLASS A</t>
  </si>
  <si>
    <t>OzOMfLtJRnqASJyRweD9Xw</t>
  </si>
  <si>
    <t>MSTR</t>
  </si>
  <si>
    <t>STRATEGY INC CLASS A</t>
  </si>
  <si>
    <t>hfECCPMcQmC16K1mQQiI2A</t>
  </si>
  <si>
    <t>MTB</t>
  </si>
  <si>
    <t>M + T BANK CORP</t>
  </si>
  <si>
    <t>G3QkY63ZQ022Zu-9czFEPQ</t>
  </si>
  <si>
    <t>MTD</t>
  </si>
  <si>
    <t>METTLER TOLEDO INC</t>
  </si>
  <si>
    <t>zfaTReTYQByr4wLIQ1WJpA</t>
  </si>
  <si>
    <t>METTLER TOLEDO INTERNATIONAL</t>
  </si>
  <si>
    <t>aw8IzgSvQFKoxtkdXWEWZw</t>
  </si>
  <si>
    <t>MTN</t>
  </si>
  <si>
    <t>VAIL RESORTS INC</t>
  </si>
  <si>
    <t>y8z2AmZwSwCN10rSZswqfw</t>
  </si>
  <si>
    <t>MTZ</t>
  </si>
  <si>
    <t>MASTEC INC</t>
  </si>
  <si>
    <t>CcKhZIDpSuWHaYNsVQiG4Q</t>
  </si>
  <si>
    <t>MU</t>
  </si>
  <si>
    <t>MICRON TECHNOLOGY INC</t>
  </si>
  <si>
    <t>bV9gLOWpT2KGwlAh8wkDaw</t>
  </si>
  <si>
    <t>MUR</t>
  </si>
  <si>
    <t>MURPHY OIL CORP</t>
  </si>
  <si>
    <t>eG9f968CRrWW.jXpJuTK3A</t>
  </si>
  <si>
    <t>MZTI</t>
  </si>
  <si>
    <t>MARZETTI</t>
  </si>
  <si>
    <t>zdVkAyASSlqSNClQA3.omw</t>
  </si>
  <si>
    <t>NBHC</t>
  </si>
  <si>
    <t>NATIONAL BANK HOLDINGS CORP CLASS</t>
  </si>
  <si>
    <t>ZkNRm6FCRSK8-LzSBMuZBA</t>
  </si>
  <si>
    <t>NBIX</t>
  </si>
  <si>
    <t>NEUROCRINE BIOSCIENCES INC</t>
  </si>
  <si>
    <t>CAt9nIX3RQuryKxKvSefyg</t>
  </si>
  <si>
    <t>NCLH</t>
  </si>
  <si>
    <t>NORWEGIAN CRUISE LINE HOLDIN</t>
  </si>
  <si>
    <t>3GeztOPCRhmUG4fLzU71CA</t>
  </si>
  <si>
    <t>NDAQ</t>
  </si>
  <si>
    <t>NASDAQ INC</t>
  </si>
  <si>
    <t>A5B3-Ov1TymlFcCvZS4puw</t>
  </si>
  <si>
    <t>NDSN</t>
  </si>
  <si>
    <t>NORDSON CORP</t>
  </si>
  <si>
    <t>yXaoIc0dQbqUUQ39-MC6Ng</t>
  </si>
  <si>
    <t>NEE</t>
  </si>
  <si>
    <t>NEXTERA ENERGY INC</t>
  </si>
  <si>
    <t>PPOZwuMqTmqu2r65iyQfhQ</t>
  </si>
  <si>
    <t>NEM</t>
  </si>
  <si>
    <t>NEWMONT CORP</t>
  </si>
  <si>
    <t>nkrH4RHwSHyUxk.bJzMYnA</t>
  </si>
  <si>
    <t>NET</t>
  </si>
  <si>
    <t>CLOUDFLARE INC CLASS A</t>
  </si>
  <si>
    <t>Fy052hsQQsu3SXycVlC1Hg</t>
  </si>
  <si>
    <t>NFLX</t>
  </si>
  <si>
    <t>NETFLIX INC</t>
  </si>
  <si>
    <t>cKDuEgqMQkOttQLmUVdzWA</t>
  </si>
  <si>
    <t>fj4nKUWrSSuab7kYLT0.Jw</t>
  </si>
  <si>
    <t>NI</t>
  </si>
  <si>
    <t>NISOURCE INC</t>
  </si>
  <si>
    <t>1-wRnAJwQRCrq2Ci-shG4g</t>
  </si>
  <si>
    <t>NKE</t>
  </si>
  <si>
    <t>NIKE INC CL B</t>
  </si>
  <si>
    <t>BQ9sgm5vRoaf8gKB6HY74Q</t>
  </si>
  <si>
    <t>NOC</t>
  </si>
  <si>
    <t>NORTHROP GRUMMAN CORP</t>
  </si>
  <si>
    <t>I8Uc0WdKRcq9.yuyQDrE4Q</t>
  </si>
  <si>
    <t>NOW</t>
  </si>
  <si>
    <t>SERVICENOW INC</t>
  </si>
  <si>
    <t>ig4IYb8HRcq.f5QApC65Ww</t>
  </si>
  <si>
    <t>3z58BJW-TlSFxap19bvMPA</t>
  </si>
  <si>
    <t>NRG</t>
  </si>
  <si>
    <t>NRG ENERGY INC</t>
  </si>
  <si>
    <t>a.fBeWArQhuIWNI39GkjVQ</t>
  </si>
  <si>
    <t>NSC</t>
  </si>
  <si>
    <t>NORFOLK SOUTHERN CORPORATION</t>
  </si>
  <si>
    <t>WEslinZdQhGq0R8ymBlgHQ</t>
  </si>
  <si>
    <t>NSP</t>
  </si>
  <si>
    <t>INSPERITY INC</t>
  </si>
  <si>
    <t>xjoTrMa4RjW2-Drntpwiwg</t>
  </si>
  <si>
    <t>NTAP</t>
  </si>
  <si>
    <t>NETAPP INC</t>
  </si>
  <si>
    <t>ybYPwumfRx-DG0.2wvV1Ww</t>
  </si>
  <si>
    <t>NTRA</t>
  </si>
  <si>
    <t>NATERA INC</t>
  </si>
  <si>
    <t>NDg0FTtFQ9GZBACN6N486w</t>
  </si>
  <si>
    <t>NTRS</t>
  </si>
  <si>
    <t>NORTHERN TRUST CORP</t>
  </si>
  <si>
    <t>urbCk8NgShur3LInoXq-Qw</t>
  </si>
  <si>
    <t>NUE</t>
  </si>
  <si>
    <t>NUCOR CORPORATION</t>
  </si>
  <si>
    <t>X3piBIzsS3a45FLTG3Rj2w</t>
  </si>
  <si>
    <t>NVDA</t>
  </si>
  <si>
    <t>NVIDIA CORP</t>
  </si>
  <si>
    <t>lDZizNwoRVSUfLLvGpggwQ</t>
  </si>
  <si>
    <t>FsN5wR2GSr6ZV7N38qdcHg</t>
  </si>
  <si>
    <t>NVR</t>
  </si>
  <si>
    <t>NVR INC</t>
  </si>
  <si>
    <t>frhMGJj.QH-6Ep-Nl.mboA</t>
  </si>
  <si>
    <t>idCEwE-sRHSHzoZn2zkdrQ</t>
  </si>
  <si>
    <t>NWS</t>
  </si>
  <si>
    <t>NEWS CORP CLASS B</t>
  </si>
  <si>
    <t>6Ub2edMeStKNitFIvoV3EA</t>
  </si>
  <si>
    <t>NWSA</t>
  </si>
  <si>
    <t>NEWS CORP CLASS A</t>
  </si>
  <si>
    <t>vNFccpoNTOC4-lM.cLoVKA</t>
  </si>
  <si>
    <t>NXPI</t>
  </si>
  <si>
    <t>NXP SEMICONDUCTORS NV</t>
  </si>
  <si>
    <t>8o8fd0zMRa2JxljLGB4xMw</t>
  </si>
  <si>
    <t>NXST</t>
  </si>
  <si>
    <t>NEXSTAR MEDIA GROUP INC</t>
  </si>
  <si>
    <t>CyLYGkEGQkaUesUBa6J6SQ</t>
  </si>
  <si>
    <t>O</t>
  </si>
  <si>
    <t>REALTY INCOME CORPORATION</t>
  </si>
  <si>
    <t>1tPlRU.5S3agwwZGga1piw</t>
  </si>
  <si>
    <t>ODFL</t>
  </si>
  <si>
    <t>OLD DOMINION FREIGHT LINE</t>
  </si>
  <si>
    <t>6p6EOT7JTDGsn0z0LgSA3g</t>
  </si>
  <si>
    <t>OFG</t>
  </si>
  <si>
    <t>OFG BANCORP</t>
  </si>
  <si>
    <t>0XfBVovWQEO9qpmWiqbWSA</t>
  </si>
  <si>
    <t>OKE</t>
  </si>
  <si>
    <t>ONEOK INC</t>
  </si>
  <si>
    <t>aUg1CBuBTsSCr-dJDRSnOQ</t>
  </si>
  <si>
    <t>LU4gRq4xRwShGcTUnPdjKQ</t>
  </si>
  <si>
    <t>OKLO</t>
  </si>
  <si>
    <t>OKLO INC CLASS A</t>
  </si>
  <si>
    <t>i2Bbk07oQ0yGyBboKh-lnw</t>
  </si>
  <si>
    <t>OKTA</t>
  </si>
  <si>
    <t>OKTA INC CLASS A</t>
  </si>
  <si>
    <t>L9YPj7ouTbSzOwaIYZBC4g</t>
  </si>
  <si>
    <t>OLED</t>
  </si>
  <si>
    <t>UNIVERSAL DISPLAY CORP</t>
  </si>
  <si>
    <t>t8N1ZPPMQ9a9SYVokBKVlg</t>
  </si>
  <si>
    <t>OMC</t>
  </si>
  <si>
    <t>OMNICOM GROUP</t>
  </si>
  <si>
    <t>DXtXKGedQYubPJNxmTCBWQ</t>
  </si>
  <si>
    <t>ON</t>
  </si>
  <si>
    <t>ON SEMICONDUCTOR</t>
  </si>
  <si>
    <t>HRo0QJ85RHWrGV2PoiB7Eg</t>
  </si>
  <si>
    <t>ORCL</t>
  </si>
  <si>
    <t>ORACLE CORPORATION</t>
  </si>
  <si>
    <t>9zZZCuxdStCUqQiC33zzVw</t>
  </si>
  <si>
    <t>ORI</t>
  </si>
  <si>
    <t>OLD REPUBLIC INTERNATIONAL CORP</t>
  </si>
  <si>
    <t>YOPppPLSSS2diy5i56EY0A</t>
  </si>
  <si>
    <t>ORLY</t>
  </si>
  <si>
    <t>OREILLY AUTOMOTIVE INC</t>
  </si>
  <si>
    <t>dd3DkBhSSeuFWdSQ9iVuZg</t>
  </si>
  <si>
    <t>sj-eT2cwRTaEPbgLKr24zg</t>
  </si>
  <si>
    <t>ORRF</t>
  </si>
  <si>
    <t>ORRSTOWN FINANCIAL SERVICES INC</t>
  </si>
  <si>
    <t>VuXvelngTMWzs.yiWKsq.g</t>
  </si>
  <si>
    <t>OTIS</t>
  </si>
  <si>
    <t>OTIS WORLDWIDE CORP</t>
  </si>
  <si>
    <t>TiX8k4oXSA2Mx6a6G3NrMw</t>
  </si>
  <si>
    <t>OXM</t>
  </si>
  <si>
    <t>OXFORD INDUSTRIES INC</t>
  </si>
  <si>
    <t>Sm9hLVX4ToO2CWfwyhk-WA</t>
  </si>
  <si>
    <t>OXY</t>
  </si>
  <si>
    <t>OCCIDENTAL PETROLEUM CORPORATION</t>
  </si>
  <si>
    <t>xw52CJ1ETkG4B1ld22.wmQ</t>
  </si>
  <si>
    <t>OZK</t>
  </si>
  <si>
    <t>BANK OZK</t>
  </si>
  <si>
    <t>o0rPD.6ZRsSYKMV1yGQJdw</t>
  </si>
  <si>
    <t>PAG</t>
  </si>
  <si>
    <t>PENSKE AUTOMOTIVE GROUP VOTING INC</t>
  </si>
  <si>
    <t>jpW59ENwRaWnoHrMonJnpQ</t>
  </si>
  <si>
    <t>PANW</t>
  </si>
  <si>
    <t>PALO ALTO NETWORKS INC</t>
  </si>
  <si>
    <t>znBE2VwFQvidgoP4j7hAkw</t>
  </si>
  <si>
    <t>Jfc8avS1T72bEXIXA8NQYg</t>
  </si>
  <si>
    <t>PAYC</t>
  </si>
  <si>
    <t>PAYCOM SOFTWARE INC</t>
  </si>
  <si>
    <t>HUcZRd0WQqW1EedX1rb-tw</t>
  </si>
  <si>
    <t>PAYX</t>
  </si>
  <si>
    <t>PAYCHEX INC</t>
  </si>
  <si>
    <t>MxkfRs42T0WEM.NLsGGt.g</t>
  </si>
  <si>
    <t>dzyakt7ESUGLPum0vlT4kQ</t>
  </si>
  <si>
    <t>PCAR</t>
  </si>
  <si>
    <t>PACCAR INC</t>
  </si>
  <si>
    <t>bWTNvNAnS.GxCJFGVomTaw</t>
  </si>
  <si>
    <t>PCG</t>
  </si>
  <si>
    <t>P G + E CORP</t>
  </si>
  <si>
    <t>Ofx8I70aRoysbxEhgjkvnA</t>
  </si>
  <si>
    <t>PCOR</t>
  </si>
  <si>
    <t>PROCORE TECHNOLOGIES INC</t>
  </si>
  <si>
    <t>viO8o6A9TRGHKDuMP5k9Xg</t>
  </si>
  <si>
    <t>PCTY</t>
  </si>
  <si>
    <t>PAYLOCITY HOLDING CORP</t>
  </si>
  <si>
    <t>31VUJ4eMQpmrT9zM7bqLwg</t>
  </si>
  <si>
    <t>PEG</t>
  </si>
  <si>
    <t>PUBLIC SERVICE ENTERPRISE GP</t>
  </si>
  <si>
    <t>9E.Kj.lARsqI57BEdtR-pg</t>
  </si>
  <si>
    <t>PEN</t>
  </si>
  <si>
    <t>PENUMBRA INC</t>
  </si>
  <si>
    <t>U7qDrVwZTzWctYhoBjoTTA</t>
  </si>
  <si>
    <t>PEP</t>
  </si>
  <si>
    <t>PEPSICO INC</t>
  </si>
  <si>
    <t>HOJIcDyYTDGnRG.VZRZG9g</t>
  </si>
  <si>
    <t>O-AYjhU6TUuuJzzojIh3Mg</t>
  </si>
  <si>
    <t>PFBC</t>
  </si>
  <si>
    <t>PREFERRED BANK</t>
  </si>
  <si>
    <t>DPFIwhetSjavOePtsQLz-A</t>
  </si>
  <si>
    <t>PFE</t>
  </si>
  <si>
    <t>PFIZER INC</t>
  </si>
  <si>
    <t>mTtcljT1RiqGjlXkwKQUvA</t>
  </si>
  <si>
    <t>PFG</t>
  </si>
  <si>
    <t>PRINCIPAL FINANCIAL GROUP INC</t>
  </si>
  <si>
    <t>aSrH3i7oQZGDo9v4Xv2Qkg</t>
  </si>
  <si>
    <t>PRINCIPAL FINANCIAL GROUP</t>
  </si>
  <si>
    <t>VocA9z6eSTSl2lvCXVTbcA</t>
  </si>
  <si>
    <t>PFGC</t>
  </si>
  <si>
    <t>PERFORMANCE FOOD GROUP</t>
  </si>
  <si>
    <t>CfmaGfzgQv--KqePgYFQew</t>
  </si>
  <si>
    <t>PG</t>
  </si>
  <si>
    <t>PROCTER &amp; GAMBLE</t>
  </si>
  <si>
    <t>Bi3R7R8NQji2RUpuzfOUOQ</t>
  </si>
  <si>
    <t>PROCTER + GAMBLE CO/THE</t>
  </si>
  <si>
    <t>qkClcvo4Q8qivpmT5vzT1A</t>
  </si>
  <si>
    <t>PGR</t>
  </si>
  <si>
    <t>PROGRESSIVE CORP</t>
  </si>
  <si>
    <t>wgaaymsbT8ehjc6cYYScqA</t>
  </si>
  <si>
    <t>cwhujYRwTUWv6jJvB20.Nw</t>
  </si>
  <si>
    <t>PH</t>
  </si>
  <si>
    <t>PARKER-HANNIFIN CORP</t>
  </si>
  <si>
    <t>CsUtdmqyQb-K5aToa9YZJg</t>
  </si>
  <si>
    <t>PARKER HANNIFIN CORP</t>
  </si>
  <si>
    <t>qSkzPk3CR9OqECNaJFPemg</t>
  </si>
  <si>
    <t>PHM</t>
  </si>
  <si>
    <t>PULTEGROUP INC</t>
  </si>
  <si>
    <t>U.4gijlKQAWF1MsoQWnEuQ</t>
  </si>
  <si>
    <t>PINS</t>
  </si>
  <si>
    <t>PINTEREST INC CLASS A</t>
  </si>
  <si>
    <t>CsCOAUPIQei7RrP-mT7kDw</t>
  </si>
  <si>
    <t>PKG</t>
  </si>
  <si>
    <t>PACKAGING CORP OF AMERICA</t>
  </si>
  <si>
    <t>cR1FQfLgSFieJNPVcsZxeg</t>
  </si>
  <si>
    <t>PLD</t>
  </si>
  <si>
    <t>PROLOGIS INC</t>
  </si>
  <si>
    <t>dtNAASKDTJigyYDrCRA4bA</t>
  </si>
  <si>
    <t>PLTR</t>
  </si>
  <si>
    <t>PALANTIR TECHNOLOGIES INC CLASS A</t>
  </si>
  <si>
    <t>DAOxtfH8RgG2tDsH8BG3cQ</t>
  </si>
  <si>
    <t>PALANTIR TECHNOLOGIES INC A</t>
  </si>
  <si>
    <t>YFtjkeuyQ.GQatB84MkpcQ</t>
  </si>
  <si>
    <t>PM</t>
  </si>
  <si>
    <t>PHILIP MORRIS INTERNATIONAL</t>
  </si>
  <si>
    <t>8u-cPM9tR9yWxF7AXtYUJw</t>
  </si>
  <si>
    <t>PNC</t>
  </si>
  <si>
    <t>PNC FINANCIAL SERVICES GROUP</t>
  </si>
  <si>
    <t>ldUYOQt4SiaDaBsWSIViHg</t>
  </si>
  <si>
    <t>PNR</t>
  </si>
  <si>
    <t>PENTAIR PLC</t>
  </si>
  <si>
    <t>14u74mv.ReKy19n7vFy6Bw</t>
  </si>
  <si>
    <t>PNW</t>
  </si>
  <si>
    <t>PINNACLE WEST CAPITAL</t>
  </si>
  <si>
    <t>x4F26mWLQ7yWOooeczLO1w</t>
  </si>
  <si>
    <t>PODD</t>
  </si>
  <si>
    <t>INSULET CORP</t>
  </si>
  <si>
    <t>ZDo19BjvSv6yldkXOFh7IQ</t>
  </si>
  <si>
    <t>JPKvgbSETqmXoYCW6vd4iA</t>
  </si>
  <si>
    <t>POOL</t>
  </si>
  <si>
    <t>POOL CORP</t>
  </si>
  <si>
    <t>j.RLY6XRTfKIWQ1IohoCFg</t>
  </si>
  <si>
    <t>jtxsvzeXSS2g.LJe52B8Wg</t>
  </si>
  <si>
    <t>PPG</t>
  </si>
  <si>
    <t>PPG INDUSTRIES INC</t>
  </si>
  <si>
    <t>48h9mj13QS-fuBOod6kNFA</t>
  </si>
  <si>
    <t>PPL</t>
  </si>
  <si>
    <t>PPL CORP</t>
  </si>
  <si>
    <t>ORyPoH96S0qGVN.rNGgtdA</t>
  </si>
  <si>
    <t>PRU</t>
  </si>
  <si>
    <t>PRUDENTIAL FINANCIAL INC</t>
  </si>
  <si>
    <t>6PRsWJBtTnys2XW3xZT.RQ</t>
  </si>
  <si>
    <t>PSA</t>
  </si>
  <si>
    <t>PUBLIC STORAGE</t>
  </si>
  <si>
    <t>qOJP3Ct2R0GyZa345n5sEQ</t>
  </si>
  <si>
    <t>PSKY</t>
  </si>
  <si>
    <t>PARAMOUNT SKYDANCE CL B</t>
  </si>
  <si>
    <t>0se1RXLjTuKD5pL8fW8fHw</t>
  </si>
  <si>
    <t>PSX</t>
  </si>
  <si>
    <t>PHILLIPS</t>
  </si>
  <si>
    <t>vIpL8IKNSW-8phXia6bR-Q</t>
  </si>
  <si>
    <t>PHILLIPS 66</t>
  </si>
  <si>
    <t>fSM-JTyqQn65jvSH.hmT-w</t>
  </si>
  <si>
    <t>PTC</t>
  </si>
  <si>
    <t>PTC INC</t>
  </si>
  <si>
    <t>T3TKloCsSoWvz7Iq3Iv7.Q</t>
  </si>
  <si>
    <t>LO4csXmSQj21wsz9gu6WLg</t>
  </si>
  <si>
    <t>PWR</t>
  </si>
  <si>
    <t>QUANTA SERVICES INC.</t>
  </si>
  <si>
    <t>6zLbtgrKReS4whqJ8o.tew</t>
  </si>
  <si>
    <t>uhhCCSq4TV6WhE-8JZnU9g</t>
  </si>
  <si>
    <t>PYPL</t>
  </si>
  <si>
    <t>PAYPAL HOLDINGS INC</t>
  </si>
  <si>
    <t>6Zfazt2fQnmgAg55cjAc3w</t>
  </si>
  <si>
    <t>Q</t>
  </si>
  <si>
    <t>QNITY ELECTRONICS INC</t>
  </si>
  <si>
    <t>bEhyoVbpQCiNtHtCG0mMsA</t>
  </si>
  <si>
    <t>QCOM</t>
  </si>
  <si>
    <t>QUALCOMM INC</t>
  </si>
  <si>
    <t>0lY6v5ffRJmNVCvIIfCYAg</t>
  </si>
  <si>
    <t>nNT8c79UQoiOlcfiUjzeCg</t>
  </si>
  <si>
    <t>RBC</t>
  </si>
  <si>
    <t>RBC BEARINGS INC</t>
  </si>
  <si>
    <t>oRTiETTOQJmaYGBP2v5lPA</t>
  </si>
  <si>
    <t>RBRK</t>
  </si>
  <si>
    <t>RUBRIK INC CLASS A</t>
  </si>
  <si>
    <t>UAljcSFDRKqk6kZI6q73lA</t>
  </si>
  <si>
    <t>RCL</t>
  </si>
  <si>
    <t>ROYAL CARIBBEAN CRUISES LTD</t>
  </si>
  <si>
    <t>77gqDssAQHOq34JsC2e.mQ</t>
  </si>
  <si>
    <t>RDDT</t>
  </si>
  <si>
    <t>REDDIT INC CLASS A</t>
  </si>
  <si>
    <t>Q6WEMBqoTLut8Suh4tEcXA</t>
  </si>
  <si>
    <t>REG</t>
  </si>
  <si>
    <t>REGENCY CENTERS CORP</t>
  </si>
  <si>
    <t>7u7EidwFThyEalA2oNgO1w</t>
  </si>
  <si>
    <t>REGN</t>
  </si>
  <si>
    <t>REGENERON PHARMACEUTICALS</t>
  </si>
  <si>
    <t>pOSD97AOQHamsZZ2SvrqgA</t>
  </si>
  <si>
    <t>KTlVnSOSQlyFUzY02MkR2A</t>
  </si>
  <si>
    <t>RF</t>
  </si>
  <si>
    <t>REGIONS FINANCIAL CORP</t>
  </si>
  <si>
    <t>mwBQLgR3TN6X3hro4KNhSA</t>
  </si>
  <si>
    <t>GvZHC7Y3RGmB34YU7ahERg</t>
  </si>
  <si>
    <t>RGEN</t>
  </si>
  <si>
    <t>REPLIGEN CORP</t>
  </si>
  <si>
    <t>u5NnONngTgylJgjmimBYYA</t>
  </si>
  <si>
    <t>RHI</t>
  </si>
  <si>
    <t>ROBERT HALF INC</t>
  </si>
  <si>
    <t>4pohBwILSi-lBfG5dHrt7w</t>
  </si>
  <si>
    <t>RJF</t>
  </si>
  <si>
    <t>RAYMOND JAMES FINANCIAL INC</t>
  </si>
  <si>
    <t>zXgb9KHYSqC14ztbX9pxEA</t>
  </si>
  <si>
    <t>RKLB</t>
  </si>
  <si>
    <t>ROCKET LAB CORP</t>
  </si>
  <si>
    <t>2LkJMV6LTvClhKuEQT4JSw</t>
  </si>
  <si>
    <t>RL</t>
  </si>
  <si>
    <t>RALPH LAUREN CORP</t>
  </si>
  <si>
    <t>wvdftrKsQYW7lCR4p40Nqw</t>
  </si>
  <si>
    <t>RMD</t>
  </si>
  <si>
    <t>RESMED INC</t>
  </si>
  <si>
    <t>AoLZoAjkT6u6ccDcbxdSzQ</t>
  </si>
  <si>
    <t>jxISbr8ART-dQFdV21ubPw</t>
  </si>
  <si>
    <t>ROIV</t>
  </si>
  <si>
    <t>ROIVANT SCIENCES LTD</t>
  </si>
  <si>
    <t>DrHqKi.9SOWZdjd7aX4tYw</t>
  </si>
  <si>
    <t>ROK</t>
  </si>
  <si>
    <t>ROCKWELL AUTOMATION INC</t>
  </si>
  <si>
    <t>dIqvq50jTzmOOo4MW9M8Wg</t>
  </si>
  <si>
    <t>ROL</t>
  </si>
  <si>
    <t>ROLLINS INC</t>
  </si>
  <si>
    <t>CUXFuDqJQt23mUmTeu73ig</t>
  </si>
  <si>
    <t>ROP</t>
  </si>
  <si>
    <t>ROPER TECHNOLOGIES INC</t>
  </si>
  <si>
    <t>gVrFrNmJRrqh7ZdhdThoPw</t>
  </si>
  <si>
    <t>rbKKCHAqSGCEFFvMGZJ3kg</t>
  </si>
  <si>
    <t>ROST</t>
  </si>
  <si>
    <t>ROSS STORES INC</t>
  </si>
  <si>
    <t>fq5Zp.lvTry8LDzN.B86jw</t>
  </si>
  <si>
    <t>RSG</t>
  </si>
  <si>
    <t>REPUBLIC SERVICES INC</t>
  </si>
  <si>
    <t>e7md5SWkQg-dmxeTCK88Tg</t>
  </si>
  <si>
    <t>RTX</t>
  </si>
  <si>
    <t>RTX CORP</t>
  </si>
  <si>
    <t>rChgXzNNRKK5a.wk-U5cMQ</t>
  </si>
  <si>
    <t>RVTY</t>
  </si>
  <si>
    <t>REVVITY INC</t>
  </si>
  <si>
    <t>uK-ddh4rRa-MjFUI0472QQ</t>
  </si>
  <si>
    <t>SAIA</t>
  </si>
  <si>
    <t>SAIA INC</t>
  </si>
  <si>
    <t>lMtWfJf7RKesZ4c3EAUnCQ</t>
  </si>
  <si>
    <t>SATS</t>
  </si>
  <si>
    <t>ECHOSTAR CORP A</t>
  </si>
  <si>
    <t>jc-ckqgbSXmeXh5Ni13SGA</t>
  </si>
  <si>
    <t>SBAC</t>
  </si>
  <si>
    <t>SBA COMMUNICATIONS REIT CORP CLASS</t>
  </si>
  <si>
    <t>NQPnyxvfTse7JyUJ8nLUcw</t>
  </si>
  <si>
    <t>SBA COMMUNICATIONS CORP</t>
  </si>
  <si>
    <t>5ufIbfqDSR2S-pSb8SL4Iw</t>
  </si>
  <si>
    <t>SBUX</t>
  </si>
  <si>
    <t>STARBUCKS CORPORATION</t>
  </si>
  <si>
    <t>J7mdW5VGRTukTze3zfIsqw</t>
  </si>
  <si>
    <t>SCHW</t>
  </si>
  <si>
    <t>SCHWAB (CHARLES) CORP</t>
  </si>
  <si>
    <t>DAojJ-agSES7tzcQvDTSuw</t>
  </si>
  <si>
    <t>SHW</t>
  </si>
  <si>
    <t>SHERWIN WILLIAMS</t>
  </si>
  <si>
    <t>iFfGcRLcSdqfrwqjKkkJyw</t>
  </si>
  <si>
    <t>SHERWIN WILLIAMS CO/THE</t>
  </si>
  <si>
    <t>tLubGjbbSTqkvAjnnb.mlg</t>
  </si>
  <si>
    <t>SJM</t>
  </si>
  <si>
    <t>JM SMUCKER CO/THE</t>
  </si>
  <si>
    <t>97irPktCSo6xJMHiQaw.xQ</t>
  </si>
  <si>
    <t>SLB</t>
  </si>
  <si>
    <t>SLB NV</t>
  </si>
  <si>
    <t>jkTb2R10TG2ZnR07RZtvLw</t>
  </si>
  <si>
    <t>SLB LTD</t>
  </si>
  <si>
    <t>iGUWiV2lQ.KaRUn-WBHS2A</t>
  </si>
  <si>
    <t>SMCI</t>
  </si>
  <si>
    <t>SUPER MICRO COMPUTER INC</t>
  </si>
  <si>
    <t>vaH.XY3wSf6md-Jcs9O0cA</t>
  </si>
  <si>
    <t>5IcleAoiScmlpE1mgkoNaA</t>
  </si>
  <si>
    <t>SNA</t>
  </si>
  <si>
    <t>SNAP ON INC</t>
  </si>
  <si>
    <t>sVhjOcl4SAKXLdNFYO0HMg</t>
  </si>
  <si>
    <t>NGNPnCCjQxmLGDaXW.76yQ</t>
  </si>
  <si>
    <t>SNDK</t>
  </si>
  <si>
    <t>SANDISK CORP</t>
  </si>
  <si>
    <t>DddFIVgZRle0dRkQX8817A</t>
  </si>
  <si>
    <t>SNOW</t>
  </si>
  <si>
    <t>SNOWFLAKE INC</t>
  </si>
  <si>
    <t>IXEMBVAeQDC38qT1JUvzZA</t>
  </si>
  <si>
    <t>SNPS</t>
  </si>
  <si>
    <t>SYNOPSYS INC</t>
  </si>
  <si>
    <t>PkeWP095Q0qGY5fTzMEV5A</t>
  </si>
  <si>
    <t>KL-AxYDbSTOvsRJhnSiCBA</t>
  </si>
  <si>
    <t>SO</t>
  </si>
  <si>
    <t>SOUTHERN CO/THE</t>
  </si>
  <si>
    <t>Ae6VYaqITTiIlYnjfdGOLA</t>
  </si>
  <si>
    <t>SOFI</t>
  </si>
  <si>
    <t>SOFI TECHNOLOGIES INC</t>
  </si>
  <si>
    <t>2avaSDzHRZapd0TTlCn8.A</t>
  </si>
  <si>
    <t>SOLV</t>
  </si>
  <si>
    <t>SOLVENTUM CORP</t>
  </si>
  <si>
    <t>VH4uDSFHSzGaIcv0B4C-aw</t>
  </si>
  <si>
    <t>SPG</t>
  </si>
  <si>
    <t>SIMON PROPERTY GROUP INC</t>
  </si>
  <si>
    <t>Fvi.lnZFRGG8Z-te54gmWg</t>
  </si>
  <si>
    <t>SPGI</t>
  </si>
  <si>
    <t>S&amp;P GLOBAL INC</t>
  </si>
  <si>
    <t>G.GSgwEyQRu95uFTDOU2ug</t>
  </si>
  <si>
    <t>S+P GLOBAL INC</t>
  </si>
  <si>
    <t>nf8qjOAETrChUww25rJI6A</t>
  </si>
  <si>
    <t>SRCE</t>
  </si>
  <si>
    <t>1ST SOURCE CORP</t>
  </si>
  <si>
    <t>a.5Zi-oQHRAmOe77XRxE2Mg</t>
  </si>
  <si>
    <t>SRE</t>
  </si>
  <si>
    <t>SEMPRA</t>
  </si>
  <si>
    <t>J8B0xXRXR8Kkt2Lzq0CV4g</t>
  </si>
  <si>
    <t>STBA</t>
  </si>
  <si>
    <t>S AND T BANCORP INC</t>
  </si>
  <si>
    <t>nY7TVP1EScuFOToMBpy2Lw</t>
  </si>
  <si>
    <t>STE</t>
  </si>
  <si>
    <t>STERIS PLC</t>
  </si>
  <si>
    <t>3fwKJKJORGW1825YOl4toQ</t>
  </si>
  <si>
    <t>STLD</t>
  </si>
  <si>
    <t>STEEL DYNAMICS INC</t>
  </si>
  <si>
    <t>e3Ywa0TRR3mxCAQMdVg1kg</t>
  </si>
  <si>
    <t>STT</t>
  </si>
  <si>
    <t>STATE STREET CORP</t>
  </si>
  <si>
    <t>N2SLuL9aSFCqvnsNYEbg1A</t>
  </si>
  <si>
    <t>STX</t>
  </si>
  <si>
    <t>SEAGATE TECHNOLOGY HOLDINGS</t>
  </si>
  <si>
    <t>VW2pEVWcQy-YmvKAnfQdhA</t>
  </si>
  <si>
    <t>STZ</t>
  </si>
  <si>
    <t>CONSTELLATION BRANDS INC CLASS A</t>
  </si>
  <si>
    <t>zqltGlcjRIGZ9oJ1uQ-XnA</t>
  </si>
  <si>
    <t>CONSTELLATION BRANDS INC A</t>
  </si>
  <si>
    <t>KcxpICA3QriPp28JUTC3SQ</t>
  </si>
  <si>
    <t>SUI</t>
  </si>
  <si>
    <t>SUN COMMUNITIES REIT INC</t>
  </si>
  <si>
    <t>E4-Ynp-pQm21gG7k9-WiKw</t>
  </si>
  <si>
    <t>SW</t>
  </si>
  <si>
    <t>SMURFIT WESTROCK PLC</t>
  </si>
  <si>
    <t>c-I7Qew9QHCQhKj6TYH-lA</t>
  </si>
  <si>
    <t>SWK</t>
  </si>
  <si>
    <t>STANLEY BLACK + DECKER INC</t>
  </si>
  <si>
    <t>a.spMD5zCTcGcrEwYsajk8w</t>
  </si>
  <si>
    <t>SWKS</t>
  </si>
  <si>
    <t>SKYWORKS SOLUTIONS INC</t>
  </si>
  <si>
    <t>JdXLoY6lSWq3i-zD0szptA</t>
  </si>
  <si>
    <t>GDKA.1B8Qp63kkYlGixxvw</t>
  </si>
  <si>
    <t>SYF</t>
  </si>
  <si>
    <t>SYNCHRONY FINANCIAL</t>
  </si>
  <si>
    <t>H9a3VPdVRBmdBvAYU24g7w</t>
  </si>
  <si>
    <t>SYK</t>
  </si>
  <si>
    <t>STRYKER CORPORATION</t>
  </si>
  <si>
    <t>kJuwN-dtTd-5-Xto0cjmiw</t>
  </si>
  <si>
    <t>SYY</t>
  </si>
  <si>
    <t>SYSCO CORPORATION</t>
  </si>
  <si>
    <t>VgBAwELWS.iyLuJCf3Fz3w</t>
  </si>
  <si>
    <t>T</t>
  </si>
  <si>
    <t>AT+T INC</t>
  </si>
  <si>
    <t>lovZndnhTh-wqb7Kh-WVlQ</t>
  </si>
  <si>
    <t>TAP</t>
  </si>
  <si>
    <t>MOLSON COORS BEVERAGE CO B</t>
  </si>
  <si>
    <t>WcThLh1DT4-a..46nMvqYg</t>
  </si>
  <si>
    <t>TDG</t>
  </si>
  <si>
    <t>TRANSDIGM GROUP INC</t>
  </si>
  <si>
    <t>WwgYdgzSRE6V.H4kvAspKA</t>
  </si>
  <si>
    <t>qYlUvv.URwSDBh35ZqDDWA</t>
  </si>
  <si>
    <t>TDY</t>
  </si>
  <si>
    <t>TELEDYNE TECHNOLOGIES INC</t>
  </si>
  <si>
    <t>4x88GG6sRrSSEWXX8jWiNw</t>
  </si>
  <si>
    <t>bGwV9wVZR6Oo01nRyZfGiw</t>
  </si>
  <si>
    <t>TEAM</t>
  </si>
  <si>
    <t>ATLASSIAN CORP CLASS A</t>
  </si>
  <si>
    <t>Ka3NVDatSa-.MhuYvrp0dQ</t>
  </si>
  <si>
    <t>TECH</t>
  </si>
  <si>
    <t>BIO TECHNE CORP</t>
  </si>
  <si>
    <t>h5TZwrWWTvGgf0-78oI8vQ</t>
  </si>
  <si>
    <t>TEL</t>
  </si>
  <si>
    <t>TE CONNECTIVITY PLC</t>
  </si>
  <si>
    <t>WIcRSwisR5uHlmOhJitPBg</t>
  </si>
  <si>
    <t>kTt7FEkoT0ObdFgPWSX30w</t>
  </si>
  <si>
    <t>TEM</t>
  </si>
  <si>
    <t>TEMPUS AI INC CLASS A</t>
  </si>
  <si>
    <t>n1TlxAxVT-uGbaLEvwGETg</t>
  </si>
  <si>
    <t>TER</t>
  </si>
  <si>
    <t>TERADYNE INC</t>
  </si>
  <si>
    <t>dmxV0VDjRSWalh6qIp.-vQ</t>
  </si>
  <si>
    <t>TFC</t>
  </si>
  <si>
    <t>TRUIST FINANCIAL CORP</t>
  </si>
  <si>
    <t>XhKfzzZuSKSbT0KwkIPCtg</t>
  </si>
  <si>
    <t>TGT</t>
  </si>
  <si>
    <t>TARGET CORPORATION</t>
  </si>
  <si>
    <t>fWbq.1HETTi4QiEnWo1J4g</t>
  </si>
  <si>
    <t>I4P6NKi8TG6LIQ6CVD51dQ</t>
  </si>
  <si>
    <t>THFF</t>
  </si>
  <si>
    <t>FIRST FINANCIAL CORPORATION CORP</t>
  </si>
  <si>
    <t>TKcX9nOBQ9qWoEb4V2vGGA</t>
  </si>
  <si>
    <t>TJX</t>
  </si>
  <si>
    <t>TJX COMPANIES INC</t>
  </si>
  <si>
    <t>hm-XlnMESLGiCqzsWvlVOQ</t>
  </si>
  <si>
    <t>TKO</t>
  </si>
  <si>
    <t>TKO GROUP HOLDINGS INC CLASS A</t>
  </si>
  <si>
    <t>PvOuB7bvQo2kr5tcnOMMgA</t>
  </si>
  <si>
    <t>TKO GROUP HOLDINGS INC</t>
  </si>
  <si>
    <t>CllFEkFKQbiOa2dV1G8LcA</t>
  </si>
  <si>
    <t>TLN</t>
  </si>
  <si>
    <t>TALEN ENERGY CORP</t>
  </si>
  <si>
    <t>SHc38bwyQOe9MBf0TIgUwQ</t>
  </si>
  <si>
    <t>TMO</t>
  </si>
  <si>
    <t>THERMO FISHER SCIENTIFIC INC</t>
  </si>
  <si>
    <t>cjSUNWfmS4SXpJMPLmIz8Q</t>
  </si>
  <si>
    <t>KPlk5457QNiu3no7jppaDQ</t>
  </si>
  <si>
    <t>TMUS</t>
  </si>
  <si>
    <t>T MOBILE US INC</t>
  </si>
  <si>
    <t>RqT2vvwQRjOT1q7lK1q5Lw</t>
  </si>
  <si>
    <t>vBQgA3IxScOaHwgQtNm-Kw</t>
  </si>
  <si>
    <t>TOST</t>
  </si>
  <si>
    <t>TOAST INC CLASS A</t>
  </si>
  <si>
    <t>DQCjk9TiS0GL-GToigNPLg</t>
  </si>
  <si>
    <t>TPL</t>
  </si>
  <si>
    <t>TEXAS PACIFIC LAND CORP</t>
  </si>
  <si>
    <t>9ev1sc.jQe2OfjMiXF275A</t>
  </si>
  <si>
    <t>P8mXeOkhS3ymWNFvKasSmg</t>
  </si>
  <si>
    <t>TPR</t>
  </si>
  <si>
    <t>TAPESTRY INC</t>
  </si>
  <si>
    <t>a.3Epm22TRzizZ0c2a2W3cw</t>
  </si>
  <si>
    <t>TRGP</t>
  </si>
  <si>
    <t>TARGA RESOURCES CORP</t>
  </si>
  <si>
    <t>EFBhr11YSD-EpmCilvBtZA</t>
  </si>
  <si>
    <t>LVsJFmH8QLmk4KLR9Aojyg</t>
  </si>
  <si>
    <t>TRMB</t>
  </si>
  <si>
    <t>TRIMBLE INC</t>
  </si>
  <si>
    <t>NyZZDYwqQ5-fCT5tjJT08Q</t>
  </si>
  <si>
    <t>TROW</t>
  </si>
  <si>
    <t>T ROWE PRICE GROUP INC</t>
  </si>
  <si>
    <t>H.1tJsgiS2C6-X9oPgR.Uw</t>
  </si>
  <si>
    <t>lnSO7l5gSjCida5m6coZcA</t>
  </si>
  <si>
    <t>TRV</t>
  </si>
  <si>
    <t>TRAVELERS COS INC/THE</t>
  </si>
  <si>
    <t>fBPvk-8jQE-0SBvDjjCumQ</t>
  </si>
  <si>
    <t>TSCO</t>
  </si>
  <si>
    <t>TRACTOR SUPPLY COMPANY</t>
  </si>
  <si>
    <t>7fjMN2ORSsqe92Cjte.oig</t>
  </si>
  <si>
    <t>TSLA</t>
  </si>
  <si>
    <t>TESLA INC</t>
  </si>
  <si>
    <t>kxQsPCStSAuApF9vALqmUQ</t>
  </si>
  <si>
    <t>YTqlUSAVSJeB8fnTCk1pOg</t>
  </si>
  <si>
    <t>TSN</t>
  </si>
  <si>
    <t>TYSON FOODS INC CL A</t>
  </si>
  <si>
    <t>RoOIt00FRn2lP6laBoDM-g</t>
  </si>
  <si>
    <t>TT</t>
  </si>
  <si>
    <t>TRANE TECHNOLOGIES PLC</t>
  </si>
  <si>
    <t>STI1p0DORh61Ey7ofGZgOQ</t>
  </si>
  <si>
    <t>VmehkwutT4u0mPw0w.FVjw</t>
  </si>
  <si>
    <t>TTD</t>
  </si>
  <si>
    <t>TRADE DESK INC CLASS A</t>
  </si>
  <si>
    <t>AxoFH2O8RDiKRt1vXfcT9w</t>
  </si>
  <si>
    <t>TRADE DESK INC/THE CLASS A</t>
  </si>
  <si>
    <t>i-chiaMnQBmzlConoZ37GQ</t>
  </si>
  <si>
    <t>TTWO</t>
  </si>
  <si>
    <t>TAKE TWO INTERACTIVE SOFTWARE INC</t>
  </si>
  <si>
    <t>h3ebKPyCQMeIjeSiT9rqFQ</t>
  </si>
  <si>
    <t>TAKE TWO INTERACTIVE SOFTWRE</t>
  </si>
  <si>
    <t>wtLn0hv2RBiMLq2a2XyKdA</t>
  </si>
  <si>
    <t>TW</t>
  </si>
  <si>
    <t>TRADEWEB MARKETS INC CLASS A</t>
  </si>
  <si>
    <t>p3xg5numSSeQ0HdxFUULEA</t>
  </si>
  <si>
    <t>TXN</t>
  </si>
  <si>
    <t>TEXAS INSTRUMENTS INC</t>
  </si>
  <si>
    <t>Y7Ld4p7oT3GL9PtvNdOWZg</t>
  </si>
  <si>
    <t>aP.5n4XXSdi-otJr2SHuaA</t>
  </si>
  <si>
    <t>TXRH</t>
  </si>
  <si>
    <t>TEXAS ROADHOUSE INC</t>
  </si>
  <si>
    <t>tZWy.Sz8Tj2gOP3GjFlTqw</t>
  </si>
  <si>
    <t>TXT</t>
  </si>
  <si>
    <t>TEXTRON INC</t>
  </si>
  <si>
    <t>BP0VQXxXSrqreMmMapurAw</t>
  </si>
  <si>
    <t>TYL</t>
  </si>
  <si>
    <t>TYLER TECHNOLOGIES INC</t>
  </si>
  <si>
    <t>PjKVB6gnSv2LoQPFnAM1Pw</t>
  </si>
  <si>
    <t>zHrB1D30TKGD5T6qvziqZQ</t>
  </si>
  <si>
    <t>UAL</t>
  </si>
  <si>
    <t>UNITED AIRLINES HOLDINGS INC</t>
  </si>
  <si>
    <t>e4vI8-cLRQOztEZxOnXIhQ</t>
  </si>
  <si>
    <t>UBER</t>
  </si>
  <si>
    <t>UBER TECHNOLOGIES INC</t>
  </si>
  <si>
    <t>3JMlcQ43RuC.blLJ2z4CBQ</t>
  </si>
  <si>
    <t>z9wmVigPRFeWq7NmrX.g1A</t>
  </si>
  <si>
    <t>UDR</t>
  </si>
  <si>
    <t>UDR INC</t>
  </si>
  <si>
    <t>1sL19zFrSPm-sV9yEhKnlA</t>
  </si>
  <si>
    <t>UHS</t>
  </si>
  <si>
    <t>UNIVERSAL HEALTH SERVICES B</t>
  </si>
  <si>
    <t>HGPVc9FIR2-pZ9Am99hcWA</t>
  </si>
  <si>
    <t>ULTA</t>
  </si>
  <si>
    <t>ULTA BEAUTY INC</t>
  </si>
  <si>
    <t>a-ERlyQ6uQg6cE2JMZlFHnw</t>
  </si>
  <si>
    <t>NFRX38lvQGSYfR5Fl9cWxg</t>
  </si>
  <si>
    <t>UNH</t>
  </si>
  <si>
    <t>UNITEDHEALTH GROUP INC</t>
  </si>
  <si>
    <t>M9YQIPzRREeS2ApZSQFZkg</t>
  </si>
  <si>
    <t>GufOy1nVQ32LdEV3337VUA</t>
  </si>
  <si>
    <t>cByB0J-mTPu0Ihl9IPctHA</t>
  </si>
  <si>
    <t>UNP</t>
  </si>
  <si>
    <t>UNION PACIFIC CORP</t>
  </si>
  <si>
    <t>juChm.97T6CoVBO9O.xKUQ</t>
  </si>
  <si>
    <t>UPS</t>
  </si>
  <si>
    <t>UNITED PARCEL SERVICE INC CLASS B</t>
  </si>
  <si>
    <t>awro.w0zQ2mS6iqwk.G-6w</t>
  </si>
  <si>
    <t>UNITED PARCEL SERVICE CL B</t>
  </si>
  <si>
    <t>qPb7chLQRJKruU6JnIof3g</t>
  </si>
  <si>
    <t>URI</t>
  </si>
  <si>
    <t>UNITED RENTALS INC</t>
  </si>
  <si>
    <t>kKCqpIvaSQmLZzYiPQL0bQ</t>
  </si>
  <si>
    <t>qdHuDgxORD-p9XNcQzkZZA</t>
  </si>
  <si>
    <t>USB</t>
  </si>
  <si>
    <t>US BANCORP</t>
  </si>
  <si>
    <t>a8cjJeVDRZuhKKLub4o8ag</t>
  </si>
  <si>
    <t>USD</t>
  </si>
  <si>
    <t>US DOLLAR</t>
  </si>
  <si>
    <t>cxhQPUWxShWCEaTW7P9-zg</t>
  </si>
  <si>
    <t>V</t>
  </si>
  <si>
    <t>VISA INC CLASS A</t>
  </si>
  <si>
    <t>zGtUCv9hQr-5AYbUow.-Kw</t>
  </si>
  <si>
    <t>VISA INC CLASS A SHARES</t>
  </si>
  <si>
    <t>iP5LtgHqTHW9gSEzbuGniQ</t>
  </si>
  <si>
    <t>VEEV</t>
  </si>
  <si>
    <t>VEEVA SYSTEMS INC CLASS A</t>
  </si>
  <si>
    <t>iLH1fX3rQmePOmMDgdlhVQ</t>
  </si>
  <si>
    <t>a.rQWJ4jLT5KfunaCPmZ9oQ</t>
  </si>
  <si>
    <t>VICI</t>
  </si>
  <si>
    <t>VICI PROPERTIES INC</t>
  </si>
  <si>
    <t>V5oPC7-tTBuJ2XGz96-Khg</t>
  </si>
  <si>
    <t>VLO</t>
  </si>
  <si>
    <t>VALERO ENERGY CORPORATION</t>
  </si>
  <si>
    <t>HhnULHrJRYi.BCdxST6Enw</t>
  </si>
  <si>
    <t>VLTO</t>
  </si>
  <si>
    <t>VERALTO CORP</t>
  </si>
  <si>
    <t>Xo-Oe8-6SY6xEkMT1BeTwA</t>
  </si>
  <si>
    <t>VMC</t>
  </si>
  <si>
    <t>VULCAN MATERIALS</t>
  </si>
  <si>
    <t>fOIJ-dqkRCKn6-kODLBf.w</t>
  </si>
  <si>
    <t>VULCAN MATERIALS CO</t>
  </si>
  <si>
    <t>7anTtTF.RymIlni0mddi6A</t>
  </si>
  <si>
    <t>VRSK</t>
  </si>
  <si>
    <t>VERISK ANALYTICS INC</t>
  </si>
  <si>
    <t>38NaZLJZTTmFBTfLUvEgyw</t>
  </si>
  <si>
    <t>VRSN</t>
  </si>
  <si>
    <t>VERISIGN INC</t>
  </si>
  <si>
    <t>M94q8bKcSZmONB0wORMAnw</t>
  </si>
  <si>
    <t>VRT</t>
  </si>
  <si>
    <t>VERTIV HOLDINGS CLASS A</t>
  </si>
  <si>
    <t>dJHjVMSKQxG6hwsp8RMEmA</t>
  </si>
  <si>
    <t>VERTIV HOLDINGS CO A</t>
  </si>
  <si>
    <t>TuUu2LZpQp6OjZT-jI0f0w</t>
  </si>
  <si>
    <t>VRTS</t>
  </si>
  <si>
    <t>VIRTUS INVESTMENT PARTNERS INC</t>
  </si>
  <si>
    <t>jeabvvlcRs2xSLu7CL2WBA</t>
  </si>
  <si>
    <t>VRTX</t>
  </si>
  <si>
    <t>VERTEX PHARMACEUTICALS INC</t>
  </si>
  <si>
    <t>Pl2hi96tSByfQEr5yq5TvQ</t>
  </si>
  <si>
    <t>ItT5lzPnQ9at2QdtU8xcYA</t>
  </si>
  <si>
    <t>VST</t>
  </si>
  <si>
    <t>VISTRA CORP</t>
  </si>
  <si>
    <t>lF1YdG-kSXmmBS9c-gFmeQ</t>
  </si>
  <si>
    <t>VTR</t>
  </si>
  <si>
    <t>VENTAS INC</t>
  </si>
  <si>
    <t>PffRBanWS.y36qqRiKcAwg</t>
  </si>
  <si>
    <t>VTRS</t>
  </si>
  <si>
    <t>VIATRIS INC</t>
  </si>
  <si>
    <t>cDHndVTtSQWfhhzcB61gGQ</t>
  </si>
  <si>
    <t>VZ</t>
  </si>
  <si>
    <t>VERIZON COMMUNICATIONS INC</t>
  </si>
  <si>
    <t>DHKOWjlnTeWFiRjFy.AnIw</t>
  </si>
  <si>
    <t>sxBCEtN-S8SAYH0V5EIqwA</t>
  </si>
  <si>
    <t>WAB</t>
  </si>
  <si>
    <t>WABTEC CORP</t>
  </si>
  <si>
    <t>IkN-cSEjTKymEV4WtMYjAg</t>
  </si>
  <si>
    <t>WAT</t>
  </si>
  <si>
    <t>WATERS CORP</t>
  </si>
  <si>
    <t>pNOgmMRYR3CULHZtnxAzqg</t>
  </si>
  <si>
    <t>ag4HzA4AQcKwdgUS0SpD6A</t>
  </si>
  <si>
    <t>WBD</t>
  </si>
  <si>
    <t>WARNER BROS DISCOVERY INC</t>
  </si>
  <si>
    <t>Yj0mb2d2QmWPXY1-sOAk1Q</t>
  </si>
  <si>
    <t>WDAY</t>
  </si>
  <si>
    <t>WORKDAY INC CLASS A</t>
  </si>
  <si>
    <t>a.KvRn807SFaatjarcMHtDQ</t>
  </si>
  <si>
    <t>SvGJNb0rTbShZqBrAh255w</t>
  </si>
  <si>
    <t>WDC</t>
  </si>
  <si>
    <t>WESTERN DIGITAL CORP</t>
  </si>
  <si>
    <t>WgL2Rn90ReqVRq4F3IAuLA</t>
  </si>
  <si>
    <t>WEC</t>
  </si>
  <si>
    <t>WEC ENERGY GROUP INC</t>
  </si>
  <si>
    <t>Rlwjj.GRSbyhd4FCXsfOQg</t>
  </si>
  <si>
    <t>WELL</t>
  </si>
  <si>
    <t>WELLTOWER INC</t>
  </si>
  <si>
    <t>WXQnJV7yRvOVqBzP4798vA</t>
  </si>
  <si>
    <t>WEN</t>
  </si>
  <si>
    <t>WENDYS</t>
  </si>
  <si>
    <t>4rdeK5ofSxC5JgU.wmYVrA</t>
  </si>
  <si>
    <t>WFC</t>
  </si>
  <si>
    <t>WELLS FARGO + CO</t>
  </si>
  <si>
    <t>4aaFR6AySgW6rFn54cdtBA</t>
  </si>
  <si>
    <t>WING</t>
  </si>
  <si>
    <t>WINGSTOP INC</t>
  </si>
  <si>
    <t>DJsv3WJkQr-6a7c7-pjisQ</t>
  </si>
  <si>
    <t>WM</t>
  </si>
  <si>
    <t>WASTE MANAGEMENT INC</t>
  </si>
  <si>
    <t>aCtcIMkjRKatuT4Q-G0l7g</t>
  </si>
  <si>
    <t>WMB</t>
  </si>
  <si>
    <t>WILLIAMS COS INC</t>
  </si>
  <si>
    <t>Go6hr.WxTISOAzTdUgdUTg</t>
  </si>
  <si>
    <t>WMS</t>
  </si>
  <si>
    <t>ADVANCED DRAINAGE SYSTEMS INC</t>
  </si>
  <si>
    <t>u6b-HA1RTry8W7OQaVR6Ag</t>
  </si>
  <si>
    <t>WMT</t>
  </si>
  <si>
    <t>WALMART INC</t>
  </si>
  <si>
    <t>gVz8matdR0W-OmAZqUbAcg</t>
  </si>
  <si>
    <t>WRB</t>
  </si>
  <si>
    <t>WR BERKLEY CORP</t>
  </si>
  <si>
    <t>03UcHSUeSbKi0fsYhOKGJA</t>
  </si>
  <si>
    <t>WSM</t>
  </si>
  <si>
    <t>WILLIAMS SONOMA INC</t>
  </si>
  <si>
    <t>jtfYhV8LRRKaxmjqpXRCuA</t>
  </si>
  <si>
    <t>WSO</t>
  </si>
  <si>
    <t>WATSCO INC</t>
  </si>
  <si>
    <t>ZCRCaApfQvKzknZ2CEHHAQ</t>
  </si>
  <si>
    <t>WST</t>
  </si>
  <si>
    <t>WEST PHARMACEUTICAL SERVICES INC</t>
  </si>
  <si>
    <t>M9FmjGHgRN69hKo1iMxtMA</t>
  </si>
  <si>
    <t>WEST PHARMACEUTICAL SERVICES</t>
  </si>
  <si>
    <t>K0w6TfJGRjG0sz8-xmKn3Q</t>
  </si>
  <si>
    <t>WTW</t>
  </si>
  <si>
    <t>WILLIS TOWERS WATSON PLC</t>
  </si>
  <si>
    <t>9B1dAN5YSPqwu1UvozEzSQ</t>
  </si>
  <si>
    <t>WU</t>
  </si>
  <si>
    <t>WESTERN UNION</t>
  </si>
  <si>
    <t>8tyS.CDrQe-41yy-XIpImg</t>
  </si>
  <si>
    <t>WY</t>
  </si>
  <si>
    <t>WEYERHAEUSER CO</t>
  </si>
  <si>
    <t>a-l8qnuIhQum3K0vUoImWHQ</t>
  </si>
  <si>
    <t>WYNN</t>
  </si>
  <si>
    <t>WYNN RESORTS LTD</t>
  </si>
  <si>
    <t>b4acNAc3RDKYV6ppAhNEqA</t>
  </si>
  <si>
    <t>XEL</t>
  </si>
  <si>
    <t>XCEL ENERGY INC</t>
  </si>
  <si>
    <t>POjcYzkQRjemHNyLuB-8uQ</t>
  </si>
  <si>
    <t>XOM</t>
  </si>
  <si>
    <t>EXXON MOBIL CORP</t>
  </si>
  <si>
    <t>vnkPidioQp-sFAYi1XIWQw</t>
  </si>
  <si>
    <t>XYL</t>
  </si>
  <si>
    <t>XYLEM INC</t>
  </si>
  <si>
    <t>JAXW40dCS26vn6qeFOQ09g</t>
  </si>
  <si>
    <t>XYZ</t>
  </si>
  <si>
    <t>BLOCK INC CLASS A</t>
  </si>
  <si>
    <t>h2kc8hGDQOiPCEn6WNeqqg</t>
  </si>
  <si>
    <t>BLOCK INC</t>
  </si>
  <si>
    <t>4qEPsI2fSvWNrAqOx8rFbQ</t>
  </si>
  <si>
    <t>YUM</t>
  </si>
  <si>
    <t>YUM BRANDS INC</t>
  </si>
  <si>
    <t>r9Gnfb7xRPC9LKT8TFK07w</t>
  </si>
  <si>
    <t>ZBH</t>
  </si>
  <si>
    <t>ZIMMER BIOMET HOLDINGS INC</t>
  </si>
  <si>
    <t>UjD4WUDhTAmv.D.6pJf.lg</t>
  </si>
  <si>
    <t>ZBRA</t>
  </si>
  <si>
    <t>ZEBRA TECHNOLOGIES CORP CL A</t>
  </si>
  <si>
    <t>kQSOoiWsSz29L-yWK.as-A</t>
  </si>
  <si>
    <t>ZM</t>
  </si>
  <si>
    <t>ZOOM COMMUNICATIONS INC CLASS A</t>
  </si>
  <si>
    <t>hBL1pZ7fS56HZIljAisvpw</t>
  </si>
  <si>
    <t>ZS</t>
  </si>
  <si>
    <t>ZSCALER INC</t>
  </si>
  <si>
    <t>D4VCD74MTEKgHoY4lRf6MA</t>
  </si>
  <si>
    <t>ZTS</t>
  </si>
  <si>
    <t>ZOETIS INC</t>
  </si>
  <si>
    <t>KjWItfzGQ1uylc1ypYFNnA</t>
  </si>
  <si>
    <t>📈 Historial de Valor del Portafolio</t>
  </si>
  <si>
    <t>ysrSGn2kQIGUwb2Wlz3DsQ</t>
  </si>
  <si>
    <t>Registro semanal/mensual del crecimiento de tu inversión</t>
  </si>
  <si>
    <t>ofGMgajyTImMDhvcT-aHFw</t>
  </si>
  <si>
    <t>📅 Fecha</t>
  </si>
  <si>
    <t>💰 Valor Portafolio</t>
  </si>
  <si>
    <t>📉 S&amp;P 500 YTD</t>
  </si>
  <si>
    <t>🎯 Alpha</t>
  </si>
  <si>
    <t>📝 Instrucciones</t>
  </si>
  <si>
    <t>Voh7nohbT02ST.s8gZojNw</t>
  </si>
  <si>
    <t>1. La fila 5 muestra el valor ACTUAL (se actualiza solo)</t>
  </si>
  <si>
    <t>fmyDW4IOTwq6R2cTQzuf7A</t>
  </si>
  <si>
    <t>2. Para registrar historial, copia la fila 5 y pégala como VALORES</t>
  </si>
  <si>
    <t>FrAAYDPHRU2.7Foz16zOwA</t>
  </si>
  <si>
    <t>3. Registra semanalmente o mensualmente</t>
  </si>
  <si>
    <t>NRYFGZ0ISEuTUi3ZEO7UIA</t>
  </si>
  <si>
    <t>4. Las columnas D, E y G se calculan automáticamente</t>
  </si>
  <si>
    <t>m.vmXYFsTMuRGyPTuqiOtA</t>
  </si>
  <si>
    <t>5. Solo necesitas llenar: Fecha, Valor, Invertido y S&amp;P 500 YTD</t>
  </si>
  <si>
    <t>VwTMD.Y0Q0e-4tbTjzQbfA</t>
  </si>
  <si>
    <t>📊 Resumen del Historial</t>
  </si>
  <si>
    <t>FD5QmP1PTLegOUwkY6hixA</t>
  </si>
  <si>
    <t>Valor Inicial:</t>
  </si>
  <si>
    <t>8lSCfUl1TjOJmQmTGFV0og</t>
  </si>
  <si>
    <t>Valor Actual:</t>
  </si>
  <si>
    <t>8u60XyHqTFqnVcDWtUesPA</t>
  </si>
  <si>
    <t>Crecimiento $:</t>
  </si>
  <si>
    <t>a-03DWVywTCeVOFeVKK1qJA</t>
  </si>
  <si>
    <t>Crecimiento %:</t>
  </si>
  <si>
    <t>89lEIjYvSLq3PXQtt7qFZw</t>
  </si>
  <si>
    <t>Registros:</t>
  </si>
  <si>
    <t>NEoC.-ISQ5agB-P3YUm4yw</t>
  </si>
  <si>
    <t>Primer Registro:</t>
  </si>
  <si>
    <t>RIJyCRg5SmOqO.XjHAvrcg</t>
  </si>
  <si>
    <t>Último Registro:</t>
  </si>
  <si>
    <t>B88ynpEORpii-.jYPHbxKQ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</si>
</sst>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164" formatCode="&quot;$&quot;#,##0.00"/>
    <numFmt numFmtId="165" formatCode="0.00000"/>
    <numFmt numFmtId="166" formatCode="0.0000"/>
    <numFmt numFmtId="167" formatCode="[$$-80A]#,##0.00"/>
    <numFmt numFmtId="168" formatCode="&quot;$&quot;#,##0"/>
    <numFmt numFmtId="169" formatCode="#,##0&quot; días&quot;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sz val="8"/>
      <name val="Aptos Narrow"/>
      <family val="2"/>
      <scheme val="minor"/>
    </font>
    <font>
      <sz val="11"/>
      <color rgb="FFFFFFFF"/>
      <name val="Calibri Light"/>
      <family val="2"/>
    </font>
    <font>
      <sz val="14"/>
      <color rgb="FFFFFFFF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FFFFFF"/>
      <name val="Segoe UI"/>
      <family val="2"/>
    </font>
    <font>
      <b/>
      <sz val="12"/>
      <color rgb="FF00D9FF"/>
      <name val="Segoe UI"/>
      <family val="2"/>
    </font>
    <font>
      <b/>
      <sz val="11"/>
      <color rgb="FF00D9FF"/>
      <name val="Segoe UI"/>
      <family val="2"/>
    </font>
    <font>
      <b/>
      <sz val="11"/>
      <color rgb="FFFFFFFF"/>
      <name val="Segoe UI"/>
      <family val="2"/>
    </font>
    <font>
      <b/>
      <sz val="12"/>
      <color rgb="FF1A1A2E"/>
      <name val="Segoe UI"/>
      <family val="2"/>
    </font>
    <font>
      <b/>
      <sz val="14"/>
      <color rgb="FFFFFFFF"/>
      <name val="Segoe UI"/>
      <family val="2"/>
    </font>
    <font>
      <b/>
      <sz val="12"/>
      <color rgb="FFFFFFFF"/>
      <name val="Segoe UI"/>
      <family val="2"/>
    </font>
    <font>
      <b/>
      <sz val="14"/>
      <color rgb="FF00D9FF"/>
      <name val="Segoe UI"/>
      <family val="2"/>
    </font>
    <font>
      <b/>
      <sz val="13"/>
      <color rgb="FF00D9FF"/>
      <name val="Segoe UI"/>
      <family val="2"/>
    </font>
    <font>
      <b/>
      <sz val="10"/>
      <color rgb="FF00D9FF"/>
      <name val="Segoe UI"/>
      <family val="2"/>
    </font>
    <font>
      <sz val="10"/>
      <color rgb="FFFFFFFF"/>
      <name val="Segoe UI"/>
      <family val="2"/>
    </font>
    <font>
      <b/>
      <sz val="10"/>
      <color rgb="FFFFFFFF"/>
      <name val="Segoe UI"/>
      <family val="2"/>
    </font>
    <font>
      <i/>
      <sz val="9"/>
      <color rgb="FFFFFFFF"/>
      <name val="Segoe UI"/>
      <family val="2"/>
    </font>
    <font>
      <i/>
      <sz val="10"/>
      <color rgb="FF00D9FF"/>
      <name val="Segoe UI"/>
      <family val="2"/>
    </font>
    <font>
      <i/>
      <sz val="10"/>
      <color rgb="FFFFFFFF"/>
      <name val="Segoe UI"/>
      <family val="2"/>
    </font>
    <font>
      <i/>
      <sz val="11"/>
      <color rgb="FF00D9FF"/>
      <name val="Segoe UI"/>
      <family val="2"/>
    </font>
    <font>
      <b/>
      <i/>
      <sz val="11"/>
      <color rgb="FF00D9FF"/>
      <name val="Segoe UI"/>
      <family val="2"/>
    </font>
    <font>
      <i/>
      <sz val="9"/>
      <color rgb="FF00D9FF"/>
      <name val="Segoe UI"/>
      <family val="2"/>
    </font>
    <font>
      <b/>
      <i/>
      <sz val="10"/>
      <color rgb="FF00D9FF"/>
      <name val="Segoe UI"/>
      <family val="2"/>
    </font>
    <font>
      <b/>
      <i/>
      <sz val="9"/>
      <color rgb="FF00D9FF"/>
      <name val="Segoe UI"/>
      <family val="2"/>
    </font>
    <font>
      <sz val="12"/>
      <color rgb="FFFFFFFF"/>
      <name val="Segoe UI"/>
      <family val="2"/>
    </font>
    <font>
      <b/>
      <sz val="9"/>
      <color rgb="FF00D9FF"/>
      <name val="Segoe UI"/>
      <family val="2"/>
    </font>
    <font>
      <sz val="9"/>
      <color rgb="FFFFFFFF"/>
      <name val="Segoe UI"/>
      <family val="2"/>
    </font>
    <font>
      <b/>
      <sz val="9"/>
      <color rgb="FFFFFFFF"/>
      <name val="Segoe UI"/>
      <family val="2"/>
    </font>
    <font>
      <sz val="14"/>
      <color rgb="FFFFFFFF"/>
      <name val="Segoe UI"/>
      <family val="2"/>
    </font>
    <font>
      <b/>
      <sz val="16"/>
      <color rgb="FFFFFFFF"/>
      <name val="Segoe UI"/>
      <family val="2"/>
    </font>
    <font>
      <b/>
      <i/>
      <sz val="13"/>
      <color rgb="FF00D9FF"/>
      <name val="Segoe UI"/>
      <family val="2"/>
    </font>
    <font>
      <b/>
      <sz val="22"/>
      <color rgb="FF00D9FF"/>
      <name val="Segoe UI"/>
      <family val="2"/>
    </font>
    <font>
      <i/>
      <sz val="11"/>
      <color rgb="FFA0A0C0"/>
      <name val="Segoe UI"/>
      <family val="2"/>
    </font>
    <font>
      <b/>
      <i/>
      <sz val="11"/>
      <color rgb="FFA0A0C0"/>
      <name val="Segoe UI"/>
      <family val="2"/>
    </font>
    <font>
      <b/>
      <u/>
      <sz val="11"/>
      <color rgb="FFFFFFFF"/>
      <name val="Segoe UI"/>
      <family val="2"/>
    </font>
    <font>
      <b/>
      <u/>
      <sz val="11"/>
      <color rgb="FF1A1A2E"/>
      <name val="Segoe UI"/>
      <family val="2"/>
    </font>
    <font>
      <b/>
      <sz val="13"/>
      <color rgb="FF00D9FF"/>
      <name val="Segoe UI"/>
    </font>
    <font>
      <i/>
      <sz val="8"/>
      <color rgb="FF5A7A9A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7F9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00D9FF"/>
        <bgColor indexed="64"/>
      </patternFill>
    </fill>
    <fill>
      <patternFill patternType="solid">
        <fgColor rgb="FF2D2D44"/>
        <bgColor indexed="64"/>
      </patternFill>
    </fill>
    <fill>
      <patternFill patternType="solid">
        <fgColor rgb="FF0F3460"/>
        <bgColor indexed="64"/>
      </patternFill>
    </fill>
  </fills>
  <borders count="5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/>
      <bottom style="thin">
        <color rgb="FFE0E8F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66C8EE"/>
      </left>
      <right/>
      <top style="thin">
        <color rgb="FF66C8EE"/>
      </top>
      <bottom/>
      <diagonal/>
    </border>
    <border>
      <left style="thin">
        <color rgb="FF66C8EE"/>
      </left>
      <right/>
      <top/>
      <bottom/>
      <diagonal/>
    </border>
    <border>
      <left style="thin">
        <color rgb="FF66C8EE"/>
      </left>
      <right/>
      <top/>
      <bottom style="thin">
        <color rgb="FF66C8EE"/>
      </bottom>
      <diagonal/>
    </border>
    <border>
      <left/>
      <right style="thin">
        <color rgb="FF66C8EE"/>
      </right>
      <top style="thin">
        <color rgb="FF66C8EE"/>
      </top>
      <bottom/>
      <diagonal/>
    </border>
    <border>
      <left/>
      <right style="thin">
        <color rgb="FF66C8EE"/>
      </right>
      <top/>
      <bottom/>
      <diagonal/>
    </border>
    <border>
      <left/>
      <right style="thin">
        <color rgb="FF66C8EE"/>
      </right>
      <top/>
      <bottom style="thin">
        <color rgb="FF66C8EE"/>
      </bottom>
      <diagonal/>
    </border>
    <border>
      <left style="thin">
        <color rgb="FF66C8EE"/>
      </left>
      <right style="thin">
        <color rgb="FFF2F2F2"/>
      </right>
      <top style="thin">
        <color rgb="FF66C8EE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66C8EE"/>
      </top>
      <bottom style="thin">
        <color rgb="FFF2F2F2"/>
      </bottom>
      <diagonal/>
    </border>
    <border>
      <left style="thin">
        <color rgb="FFF2F2F2"/>
      </left>
      <right style="thin">
        <color rgb="FF66C8EE"/>
      </right>
      <top style="thin">
        <color rgb="FF66C8EE"/>
      </top>
      <bottom style="thin">
        <color rgb="FFF2F2F2"/>
      </bottom>
      <diagonal/>
    </border>
    <border>
      <left style="thin">
        <color rgb="FF66C8EE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66C8EE"/>
      </right>
      <top style="thin">
        <color rgb="FFF2F2F2"/>
      </top>
      <bottom style="thin">
        <color rgb="FFF2F2F2"/>
      </bottom>
      <diagonal/>
    </border>
    <border>
      <left style="thin">
        <color rgb="FF66C8EE"/>
      </left>
      <right style="thin">
        <color rgb="FFF2F2F2"/>
      </right>
      <top style="thin">
        <color rgb="FFF2F2F2"/>
      </top>
      <bottom style="thin">
        <color rgb="FF66C8EE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66C8EE"/>
      </bottom>
      <diagonal/>
    </border>
    <border>
      <left style="thin">
        <color rgb="FFF2F2F2"/>
      </left>
      <right style="thin">
        <color rgb="FF66C8EE"/>
      </right>
      <top style="thin">
        <color rgb="FFF2F2F2"/>
      </top>
      <bottom style="thin">
        <color rgb="FF66C8EE"/>
      </bottom>
      <diagonal/>
    </border>
    <border>
      <left/>
      <right/>
      <top/>
      <bottom style="thin">
        <color rgb="FF66C8EE"/>
      </bottom>
      <diagonal/>
    </border>
    <border>
      <left/>
      <right/>
      <top style="thin">
        <color rgb="FF66C8EE"/>
      </top>
      <bottom/>
      <diagonal/>
    </border>
    <border>
      <left style="thin">
        <color rgb="FF66C8EE"/>
      </left>
      <right style="thin">
        <color rgb="FFE0E0E0"/>
      </right>
      <top style="thin">
        <color rgb="FFB0B0B0"/>
      </top>
      <bottom style="thin">
        <color rgb="FFE0E0E0"/>
      </bottom>
      <diagonal/>
    </border>
    <border>
      <left style="thin">
        <color rgb="FF66C8EE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66C8EE"/>
      </left>
      <right style="thin">
        <color rgb="FFE0E0E0"/>
      </right>
      <top style="thin">
        <color rgb="FFE0E0E0"/>
      </top>
      <bottom style="thin">
        <color rgb="FF66C8EE"/>
      </bottom>
      <diagonal/>
    </border>
    <border>
      <left style="thin">
        <color rgb="FFE0E0E0"/>
      </left>
      <right style="thin">
        <color rgb="FF66C8EE"/>
      </right>
      <top style="thin">
        <color rgb="FFB0B0B0"/>
      </top>
      <bottom style="thin">
        <color rgb="FFE0E0E0"/>
      </bottom>
      <diagonal/>
    </border>
    <border>
      <left style="thin">
        <color rgb="FFE0E0E0"/>
      </left>
      <right style="thin">
        <color rgb="FF66C8EE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66C8EE"/>
      </right>
      <top style="thin">
        <color rgb="FFE0E0E0"/>
      </top>
      <bottom style="thin">
        <color rgb="FF66C8EE"/>
      </bottom>
      <diagonal/>
    </border>
    <border>
      <left style="thin">
        <color rgb="FFE0E0E0"/>
      </left>
      <right/>
      <top style="thin">
        <color rgb="FFE0E0E0"/>
      </top>
      <bottom style="thin">
        <color rgb="FF66C8EE"/>
      </bottom>
      <diagonal/>
    </border>
    <border>
      <left style="thin">
        <color rgb="FF66C8EE"/>
      </left>
      <right style="thin">
        <color rgb="FFE0E0E0"/>
      </right>
      <top/>
      <bottom style="thin">
        <color rgb="FFE0E0E0"/>
      </bottom>
      <diagonal/>
    </border>
    <border>
      <left style="thin">
        <color rgb="FF66C8EE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66C8EE"/>
      </right>
      <top/>
      <bottom style="thin">
        <color rgb="FFE0E0E0"/>
      </bottom>
      <diagonal/>
    </border>
    <border>
      <left style="thin">
        <color rgb="FFE0E0E0"/>
      </left>
      <right style="thin">
        <color rgb="FF66C8EE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66C8EE"/>
      </bottom>
      <diagonal/>
    </border>
    <border>
      <left/>
      <right/>
      <top style="medium">
        <color rgb="FF00D9FF"/>
      </top>
      <bottom/>
      <diagonal/>
    </border>
    <border>
      <left/>
      <right/>
      <top style="medium">
        <color rgb="FF00D9FF"/>
      </top>
      <bottom style="medium">
        <color rgb="FF00D9FF"/>
      </bottom>
      <diagonal/>
    </border>
    <border>
      <left/>
      <right/>
      <top/>
      <bottom style="medium">
        <color rgb="FF00D9FF"/>
      </bottom>
      <diagonal/>
    </border>
    <border>
      <left style="medium">
        <color rgb="FF00D9FF"/>
      </left>
      <right/>
      <top style="medium">
        <color rgb="FF00D9FF"/>
      </top>
      <bottom style="medium">
        <color rgb="FF00D9FF"/>
      </bottom>
      <diagonal/>
    </border>
    <border>
      <left style="medium">
        <color rgb="FF00D9FF"/>
      </left>
      <right/>
      <top style="medium">
        <color rgb="FF00D9FF"/>
      </top>
      <bottom/>
      <diagonal/>
    </border>
    <border>
      <left style="medium">
        <color rgb="FF00D9FF"/>
      </left>
      <right/>
      <top/>
      <bottom/>
      <diagonal/>
    </border>
    <border>
      <left style="medium">
        <color rgb="FF00D9FF"/>
      </left>
      <right/>
      <top/>
      <bottom style="medium">
        <color rgb="FF00D9FF"/>
      </bottom>
      <diagonal/>
    </border>
    <border>
      <left/>
      <right style="medium">
        <color rgb="FF00D9FF"/>
      </right>
      <top style="medium">
        <color rgb="FF00D9FF"/>
      </top>
      <bottom/>
      <diagonal/>
    </border>
    <border>
      <left/>
      <right style="medium">
        <color rgb="FF00D9FF"/>
      </right>
      <top/>
      <bottom/>
      <diagonal/>
    </border>
    <border>
      <left/>
      <right style="medium">
        <color rgb="FF00D9FF"/>
      </right>
      <top/>
      <bottom style="medium">
        <color rgb="FF00D9FF"/>
      </bottom>
      <diagonal/>
    </border>
    <border>
      <left style="thin">
        <color rgb="FF00D9FF"/>
      </left>
      <right style="medium">
        <color rgb="FF00D9FF"/>
      </right>
      <top style="thin">
        <color rgb="FF00D9FF"/>
      </top>
      <bottom style="thin">
        <color rgb="FF00D9FF"/>
      </bottom>
      <diagonal/>
    </border>
    <border>
      <left style="thin">
        <color rgb="FF00D9FF"/>
      </left>
      <right style="medium">
        <color rgb="FF00D9FF"/>
      </right>
      <top style="thin">
        <color rgb="FF00D9FF"/>
      </top>
      <bottom style="medium">
        <color rgb="FF00D9FF"/>
      </bottom>
      <diagonal/>
    </border>
    <border>
      <left/>
      <right style="medium">
        <color rgb="FF00D9FF"/>
      </right>
      <top style="medium">
        <color rgb="FF00D9FF"/>
      </top>
      <bottom style="medium">
        <color rgb="FF00D9F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24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4" fillId="2" borderId="0" xfId="0" applyFont="1" applyFill="1"/>
    <xf numFmtId="49" fontId="4" fillId="2" borderId="0" xfId="0" applyNumberFormat="1" applyFont="1" applyFill="1"/>
    <xf numFmtId="164" fontId="4" fillId="2" borderId="0" xfId="0" applyNumberFormat="1" applyFont="1" applyFill="1"/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65" fontId="3" fillId="3" borderId="0" xfId="0" applyNumberFormat="1" applyFont="1" applyFill="1"/>
    <xf numFmtId="0" fontId="3" fillId="3" borderId="0" xfId="0" applyFont="1" applyFill="1" applyAlignment="1">
      <alignment horizontal="center" wrapText="1"/>
    </xf>
    <xf numFmtId="0" fontId="2" fillId="4" borderId="0" xfId="0" applyFont="1" applyFill="1"/>
    <xf numFmtId="0" fontId="2" fillId="4" borderId="0" xfId="0" applyFont="1" applyFill="1" applyAlignment="1">
      <alignment vertical="center"/>
    </xf>
    <xf numFmtId="166" fontId="7" fillId="5" borderId="0" xfId="1" applyNumberFormat="1" applyFont="1" applyFill="1" applyAlignment="1" applyProtection="1">
      <alignment vertical="center" wrapText="1"/>
    </xf>
    <xf numFmtId="164" fontId="13" fillId="5" borderId="0" xfId="0" applyNumberFormat="1" applyFont="1" applyFill="1" applyAlignment="1" applyProtection="1">
      <alignment horizontal="right"/>
      <protection locked="0"/>
    </xf>
    <xf numFmtId="10" fontId="13" fillId="5" borderId="0" xfId="0" applyNumberFormat="1" applyFont="1" applyFill="1" applyAlignment="1" applyProtection="1">
      <alignment horizontal="right"/>
      <protection locked="0"/>
    </xf>
    <xf numFmtId="0" fontId="10" fillId="5" borderId="0" xfId="0" applyFont="1" applyFill="1" applyAlignment="1" applyProtection="1">
      <alignment vertical="center"/>
      <protection locked="0"/>
    </xf>
    <xf numFmtId="10" fontId="21" fillId="5" borderId="2" xfId="1" applyNumberFormat="1" applyFont="1" applyFill="1" applyBorder="1" applyAlignment="1" applyProtection="1">
      <alignment horizontal="right" vertical="center"/>
    </xf>
    <xf numFmtId="164" fontId="13" fillId="5" borderId="17" xfId="0" applyNumberFormat="1" applyFont="1" applyFill="1" applyBorder="1" applyAlignment="1" applyProtection="1">
      <alignment horizontal="center" vertical="center"/>
      <protection locked="0"/>
    </xf>
    <xf numFmtId="14" fontId="10" fillId="5" borderId="0" xfId="0" applyNumberFormat="1" applyFont="1" applyFill="1" applyAlignment="1" applyProtection="1">
      <alignment vertical="center"/>
      <protection locked="0"/>
    </xf>
    <xf numFmtId="0" fontId="30" fillId="5" borderId="0" xfId="0" applyFont="1" applyFill="1" applyProtection="1">
      <protection locked="0"/>
    </xf>
    <xf numFmtId="14" fontId="30" fillId="5" borderId="0" xfId="0" applyNumberFormat="1" applyFont="1" applyFill="1" applyProtection="1">
      <protection locked="0"/>
    </xf>
    <xf numFmtId="0" fontId="30" fillId="5" borderId="0" xfId="0" applyFont="1" applyFill="1" applyAlignment="1" applyProtection="1">
      <alignment horizontal="center"/>
      <protection locked="0"/>
    </xf>
    <xf numFmtId="0" fontId="30" fillId="5" borderId="0" xfId="0" applyFont="1" applyFill="1" applyAlignment="1" applyProtection="1">
      <alignment horizontal="left"/>
      <protection locked="0"/>
    </xf>
    <xf numFmtId="166" fontId="30" fillId="5" borderId="0" xfId="0" applyNumberFormat="1" applyFont="1" applyFill="1" applyAlignment="1" applyProtection="1">
      <alignment horizontal="right"/>
      <protection locked="0"/>
    </xf>
    <xf numFmtId="164" fontId="30" fillId="5" borderId="0" xfId="0" applyNumberFormat="1" applyFont="1" applyFill="1" applyAlignment="1" applyProtection="1">
      <alignment horizontal="right"/>
      <protection locked="0"/>
    </xf>
    <xf numFmtId="0" fontId="30" fillId="5" borderId="0" xfId="0" applyFont="1" applyFill="1" applyAlignment="1" applyProtection="1">
      <alignment horizontal="right"/>
      <protection locked="0"/>
    </xf>
    <xf numFmtId="166" fontId="30" fillId="5" borderId="0" xfId="0" applyNumberFormat="1" applyFont="1" applyFill="1" applyAlignment="1" applyProtection="1">
      <alignment horizontal="center"/>
      <protection locked="0"/>
    </xf>
    <xf numFmtId="164" fontId="30" fillId="5" borderId="0" xfId="0" applyNumberFormat="1" applyFont="1" applyFill="1" applyAlignment="1" applyProtection="1">
      <alignment horizontal="center"/>
      <protection locked="0"/>
    </xf>
    <xf numFmtId="49" fontId="30" fillId="5" borderId="0" xfId="0" applyNumberFormat="1" applyFont="1" applyFill="1" applyAlignment="1" applyProtection="1">
      <alignment horizontal="center"/>
      <protection locked="0"/>
    </xf>
    <xf numFmtId="10" fontId="13" fillId="5" borderId="0" xfId="0" applyNumberFormat="1" applyFont="1" applyFill="1" applyAlignment="1">
      <alignment horizontal="right"/>
    </xf>
    <xf numFmtId="164" fontId="13" fillId="5" borderId="0" xfId="0" applyNumberFormat="1" applyFont="1" applyFill="1" applyAlignment="1">
      <alignment horizontal="right"/>
    </xf>
    <xf numFmtId="14" fontId="10" fillId="5" borderId="21" xfId="0" applyNumberFormat="1" applyFont="1" applyFill="1" applyBorder="1" applyProtection="1">
      <protection locked="0"/>
    </xf>
    <xf numFmtId="10" fontId="10" fillId="5" borderId="22" xfId="0" applyNumberFormat="1" applyFont="1" applyFill="1" applyBorder="1" applyProtection="1">
      <protection locked="0"/>
    </xf>
    <xf numFmtId="167" fontId="10" fillId="5" borderId="22" xfId="0" applyNumberFormat="1" applyFont="1" applyFill="1" applyBorder="1" applyProtection="1">
      <protection locked="0"/>
    </xf>
    <xf numFmtId="14" fontId="10" fillId="5" borderId="24" xfId="0" applyNumberFormat="1" applyFont="1" applyFill="1" applyBorder="1" applyProtection="1">
      <protection locked="0"/>
    </xf>
    <xf numFmtId="167" fontId="10" fillId="5" borderId="25" xfId="0" applyNumberFormat="1" applyFont="1" applyFill="1" applyBorder="1" applyProtection="1">
      <protection locked="0"/>
    </xf>
    <xf numFmtId="10" fontId="10" fillId="5" borderId="25" xfId="0" applyNumberFormat="1" applyFont="1" applyFill="1" applyBorder="1" applyProtection="1">
      <protection locked="0"/>
    </xf>
    <xf numFmtId="164" fontId="10" fillId="5" borderId="0" xfId="0" applyNumberFormat="1" applyFont="1" applyFill="1" applyAlignment="1">
      <alignment horizontal="right" vertical="center"/>
    </xf>
    <xf numFmtId="164" fontId="13" fillId="5" borderId="0" xfId="0" applyNumberFormat="1" applyFont="1" applyFill="1" applyAlignment="1">
      <alignment horizontal="right" vertical="center"/>
    </xf>
    <xf numFmtId="10" fontId="13" fillId="5" borderId="0" xfId="0" applyNumberFormat="1" applyFont="1" applyFill="1" applyAlignment="1">
      <alignment horizontal="right" vertical="center"/>
    </xf>
    <xf numFmtId="10" fontId="10" fillId="5" borderId="0" xfId="0" applyNumberFormat="1" applyFont="1" applyFill="1" applyAlignment="1">
      <alignment horizontal="right" vertical="center"/>
    </xf>
    <xf numFmtId="164" fontId="13" fillId="5" borderId="2" xfId="0" applyNumberFormat="1" applyFont="1" applyFill="1" applyBorder="1" applyAlignment="1">
      <alignment horizontal="right" vertical="center"/>
    </xf>
    <xf numFmtId="164" fontId="10" fillId="5" borderId="5" xfId="0" applyNumberFormat="1" applyFont="1" applyFill="1" applyBorder="1" applyAlignment="1">
      <alignment horizontal="right" vertical="center"/>
    </xf>
    <xf numFmtId="164" fontId="21" fillId="5" borderId="5" xfId="0" applyNumberFormat="1" applyFont="1" applyFill="1" applyBorder="1" applyAlignment="1">
      <alignment horizontal="right" vertical="center"/>
    </xf>
    <xf numFmtId="2" fontId="10" fillId="5" borderId="33" xfId="0" applyNumberFormat="1" applyFont="1" applyFill="1" applyBorder="1" applyAlignment="1">
      <alignment horizontal="right" vertical="center"/>
    </xf>
    <xf numFmtId="164" fontId="21" fillId="5" borderId="2" xfId="0" applyNumberFormat="1" applyFont="1" applyFill="1" applyBorder="1" applyAlignment="1">
      <alignment horizontal="right" vertical="center"/>
    </xf>
    <xf numFmtId="164" fontId="10" fillId="5" borderId="11" xfId="0" applyNumberFormat="1" applyFont="1" applyFill="1" applyBorder="1" applyAlignment="1">
      <alignment horizontal="right" vertical="center"/>
    </xf>
    <xf numFmtId="164" fontId="21" fillId="5" borderId="11" xfId="0" applyNumberFormat="1" applyFont="1" applyFill="1" applyBorder="1" applyAlignment="1">
      <alignment horizontal="right" vertical="center"/>
    </xf>
    <xf numFmtId="2" fontId="10" fillId="5" borderId="39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right" vertical="center"/>
    </xf>
    <xf numFmtId="10" fontId="13" fillId="5" borderId="35" xfId="0" applyNumberFormat="1" applyFont="1" applyFill="1" applyBorder="1" applyAlignment="1">
      <alignment horizontal="right" vertical="center"/>
    </xf>
    <xf numFmtId="10" fontId="20" fillId="5" borderId="5" xfId="0" applyNumberFormat="1" applyFont="1" applyFill="1" applyBorder="1" applyAlignment="1">
      <alignment horizontal="center" vertical="center"/>
    </xf>
    <xf numFmtId="10" fontId="20" fillId="5" borderId="33" xfId="0" applyNumberFormat="1" applyFont="1" applyFill="1" applyBorder="1" applyAlignment="1">
      <alignment horizontal="center" vertical="center"/>
    </xf>
    <xf numFmtId="10" fontId="20" fillId="5" borderId="40" xfId="0" applyNumberFormat="1" applyFont="1" applyFill="1" applyBorder="1" applyAlignment="1">
      <alignment horizontal="center" vertical="center"/>
    </xf>
    <xf numFmtId="10" fontId="20" fillId="5" borderId="34" xfId="0" applyNumberFormat="1" applyFont="1" applyFill="1" applyBorder="1" applyAlignment="1">
      <alignment horizontal="center" vertical="center"/>
    </xf>
    <xf numFmtId="10" fontId="21" fillId="5" borderId="2" xfId="0" applyNumberFormat="1" applyFont="1" applyFill="1" applyBorder="1" applyAlignment="1">
      <alignment horizontal="center" vertical="center"/>
    </xf>
    <xf numFmtId="10" fontId="21" fillId="5" borderId="3" xfId="0" applyNumberFormat="1" applyFont="1" applyFill="1" applyBorder="1" applyAlignment="1">
      <alignment horizontal="center" vertical="center"/>
    </xf>
    <xf numFmtId="10" fontId="10" fillId="5" borderId="0" xfId="0" applyNumberFormat="1" applyFont="1" applyFill="1" applyAlignment="1">
      <alignment horizontal="right"/>
    </xf>
    <xf numFmtId="10" fontId="8" fillId="5" borderId="0" xfId="0" applyNumberFormat="1" applyFont="1" applyFill="1" applyAlignment="1">
      <alignment horizontal="right"/>
    </xf>
    <xf numFmtId="0" fontId="9" fillId="5" borderId="0" xfId="2" applyFill="1"/>
    <xf numFmtId="166" fontId="2" fillId="5" borderId="0" xfId="1" applyNumberFormat="1" applyFont="1" applyFill="1" applyAlignment="1" applyProtection="1">
      <alignment vertical="center" wrapText="1"/>
    </xf>
    <xf numFmtId="10" fontId="3" fillId="5" borderId="0" xfId="0" applyNumberFormat="1" applyFont="1" applyFill="1" applyAlignment="1">
      <alignment horizontal="right"/>
    </xf>
    <xf numFmtId="0" fontId="10" fillId="5" borderId="0" xfId="0" applyFont="1" applyFill="1"/>
    <xf numFmtId="0" fontId="10" fillId="5" borderId="41" xfId="0" applyFont="1" applyFill="1" applyBorder="1"/>
    <xf numFmtId="0" fontId="10" fillId="5" borderId="48" xfId="0" applyFont="1" applyFill="1" applyBorder="1"/>
    <xf numFmtId="0" fontId="10" fillId="5" borderId="46" xfId="0" applyFont="1" applyFill="1" applyBorder="1"/>
    <xf numFmtId="0" fontId="10" fillId="5" borderId="49" xfId="0" applyFont="1" applyFill="1" applyBorder="1"/>
    <xf numFmtId="0" fontId="15" fillId="5" borderId="46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/>
    </xf>
    <xf numFmtId="0" fontId="10" fillId="5" borderId="47" xfId="0" applyFont="1" applyFill="1" applyBorder="1"/>
    <xf numFmtId="0" fontId="10" fillId="5" borderId="43" xfId="0" applyFont="1" applyFill="1" applyBorder="1"/>
    <xf numFmtId="0" fontId="10" fillId="5" borderId="50" xfId="0" applyFont="1" applyFill="1" applyBorder="1"/>
    <xf numFmtId="164" fontId="18" fillId="5" borderId="49" xfId="0" applyNumberFormat="1" applyFont="1" applyFill="1" applyBorder="1" applyAlignment="1">
      <alignment horizontal="center" vertical="center"/>
    </xf>
    <xf numFmtId="0" fontId="12" fillId="5" borderId="49" xfId="0" applyFont="1" applyFill="1" applyBorder="1"/>
    <xf numFmtId="164" fontId="12" fillId="5" borderId="50" xfId="0" applyNumberFormat="1" applyFont="1" applyFill="1" applyBorder="1"/>
    <xf numFmtId="10" fontId="18" fillId="5" borderId="50" xfId="0" applyNumberFormat="1" applyFont="1" applyFill="1" applyBorder="1" applyAlignment="1">
      <alignment horizontal="center" vertical="center"/>
    </xf>
    <xf numFmtId="0" fontId="39" fillId="5" borderId="0" xfId="0" applyFont="1" applyFill="1"/>
    <xf numFmtId="0" fontId="33" fillId="5" borderId="0" xfId="0" applyFont="1" applyFill="1"/>
    <xf numFmtId="0" fontId="33" fillId="5" borderId="0" xfId="0" applyFont="1" applyFill="1" applyAlignment="1">
      <alignment vertical="center"/>
    </xf>
    <xf numFmtId="10" fontId="33" fillId="5" borderId="0" xfId="0" applyNumberFormat="1" applyFont="1" applyFill="1" applyAlignment="1">
      <alignment horizontal="center" vertical="center"/>
    </xf>
    <xf numFmtId="14" fontId="10" fillId="5" borderId="0" xfId="0" applyNumberFormat="1" applyFont="1" applyFill="1"/>
    <xf numFmtId="164" fontId="10" fillId="5" borderId="0" xfId="0" applyNumberFormat="1" applyFont="1" applyFill="1"/>
    <xf numFmtId="0" fontId="41" fillId="6" borderId="0" xfId="2" applyFont="1" applyFill="1" applyAlignment="1" applyProtection="1">
      <alignment horizontal="center" vertical="center"/>
    </xf>
    <xf numFmtId="14" fontId="40" fillId="8" borderId="0" xfId="2" applyNumberFormat="1" applyFont="1" applyFill="1" applyAlignment="1" applyProtection="1">
      <alignment horizontal="center" vertical="center"/>
    </xf>
    <xf numFmtId="0" fontId="40" fillId="8" borderId="0" xfId="2" applyFont="1" applyFill="1" applyAlignment="1" applyProtection="1">
      <alignment horizontal="center" vertical="center"/>
    </xf>
    <xf numFmtId="166" fontId="40" fillId="8" borderId="0" xfId="2" applyNumberFormat="1" applyFont="1" applyFill="1" applyAlignment="1" applyProtection="1">
      <alignment horizontal="center" vertical="center"/>
    </xf>
    <xf numFmtId="164" fontId="40" fillId="8" borderId="0" xfId="2" applyNumberFormat="1" applyFont="1" applyFill="1" applyAlignment="1" applyProtection="1">
      <alignment horizontal="center" vertical="center"/>
    </xf>
    <xf numFmtId="164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/>
    <xf numFmtId="164" fontId="4" fillId="5" borderId="0" xfId="0" applyNumberFormat="1" applyFont="1" applyFill="1"/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27" fillId="5" borderId="0" xfId="0" applyFont="1" applyFill="1"/>
    <xf numFmtId="0" fontId="30" fillId="5" borderId="0" xfId="0" applyFont="1" applyFill="1"/>
    <xf numFmtId="0" fontId="12" fillId="5" borderId="0" xfId="0" applyFont="1" applyFill="1" applyAlignment="1">
      <alignment horizontal="center" vertical="center"/>
    </xf>
    <xf numFmtId="0" fontId="11" fillId="5" borderId="0" xfId="0" applyFont="1" applyFill="1"/>
    <xf numFmtId="0" fontId="11" fillId="5" borderId="0" xfId="0" applyFont="1" applyFill="1" applyAlignment="1">
      <alignment horizontal="center" vertical="center" wrapText="1"/>
    </xf>
    <xf numFmtId="164" fontId="13" fillId="5" borderId="0" xfId="0" applyNumberFormat="1" applyFont="1" applyFill="1"/>
    <xf numFmtId="10" fontId="13" fillId="5" borderId="0" xfId="0" applyNumberFormat="1" applyFont="1" applyFill="1"/>
    <xf numFmtId="0" fontId="32" fillId="5" borderId="0" xfId="0" applyFont="1" applyFill="1"/>
    <xf numFmtId="14" fontId="30" fillId="5" borderId="0" xfId="0" applyNumberFormat="1" applyFont="1" applyFill="1"/>
    <xf numFmtId="0" fontId="30" fillId="5" borderId="0" xfId="0" applyFont="1" applyFill="1" applyAlignment="1">
      <alignment horizontal="center"/>
    </xf>
    <xf numFmtId="0" fontId="30" fillId="5" borderId="0" xfId="0" applyFont="1" applyFill="1" applyAlignment="1">
      <alignment horizontal="left"/>
    </xf>
    <xf numFmtId="49" fontId="30" fillId="5" borderId="0" xfId="0" applyNumberFormat="1" applyFont="1" applyFill="1"/>
    <xf numFmtId="164" fontId="30" fillId="5" borderId="0" xfId="0" applyNumberFormat="1" applyFont="1" applyFill="1"/>
    <xf numFmtId="0" fontId="31" fillId="8" borderId="0" xfId="0" applyFont="1" applyFill="1"/>
    <xf numFmtId="0" fontId="11" fillId="8" borderId="0" xfId="0" applyFont="1" applyFill="1" applyAlignment="1">
      <alignment wrapText="1"/>
    </xf>
    <xf numFmtId="0" fontId="30" fillId="5" borderId="0" xfId="0" applyFont="1" applyFill="1" applyAlignment="1">
      <alignment wrapText="1"/>
    </xf>
    <xf numFmtId="166" fontId="30" fillId="5" borderId="0" xfId="0" applyNumberFormat="1" applyFont="1" applyFill="1" applyAlignment="1">
      <alignment horizontal="center"/>
    </xf>
    <xf numFmtId="164" fontId="30" fillId="5" borderId="0" xfId="0" applyNumberFormat="1" applyFont="1" applyFill="1" applyAlignment="1">
      <alignment horizontal="center"/>
    </xf>
    <xf numFmtId="49" fontId="30" fillId="5" borderId="0" xfId="0" applyNumberFormat="1" applyFont="1" applyFill="1" applyAlignment="1">
      <alignment horizontal="center"/>
    </xf>
    <xf numFmtId="1" fontId="30" fillId="5" borderId="0" xfId="0" applyNumberFormat="1" applyFont="1" applyFill="1" applyAlignment="1" applyProtection="1">
      <alignment horizontal="right"/>
      <protection locked="0"/>
    </xf>
    <xf numFmtId="0" fontId="12" fillId="7" borderId="18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167" fontId="10" fillId="5" borderId="22" xfId="0" applyNumberFormat="1" applyFont="1" applyFill="1" applyBorder="1"/>
    <xf numFmtId="10" fontId="10" fillId="5" borderId="22" xfId="0" applyNumberFormat="1" applyFont="1" applyFill="1" applyBorder="1"/>
    <xf numFmtId="10" fontId="10" fillId="5" borderId="23" xfId="0" applyNumberFormat="1" applyFont="1" applyFill="1" applyBorder="1"/>
    <xf numFmtId="0" fontId="20" fillId="5" borderId="0" xfId="0" applyFont="1" applyFill="1"/>
    <xf numFmtId="0" fontId="13" fillId="5" borderId="13" xfId="0" applyFont="1" applyFill="1" applyBorder="1"/>
    <xf numFmtId="167" fontId="13" fillId="5" borderId="16" xfId="0" applyNumberFormat="1" applyFont="1" applyFill="1" applyBorder="1"/>
    <xf numFmtId="10" fontId="13" fillId="5" borderId="16" xfId="0" applyNumberFormat="1" applyFont="1" applyFill="1" applyBorder="1"/>
    <xf numFmtId="1" fontId="13" fillId="5" borderId="16" xfId="0" applyNumberFormat="1" applyFont="1" applyFill="1" applyBorder="1"/>
    <xf numFmtId="14" fontId="13" fillId="5" borderId="16" xfId="0" applyNumberFormat="1" applyFont="1" applyFill="1" applyBorder="1"/>
    <xf numFmtId="0" fontId="13" fillId="5" borderId="14" xfId="0" applyFont="1" applyFill="1" applyBorder="1"/>
    <xf numFmtId="14" fontId="13" fillId="5" borderId="17" xfId="0" applyNumberFormat="1" applyFont="1" applyFill="1" applyBorder="1"/>
    <xf numFmtId="167" fontId="10" fillId="5" borderId="25" xfId="0" applyNumberFormat="1" applyFont="1" applyFill="1" applyBorder="1"/>
    <xf numFmtId="10" fontId="10" fillId="5" borderId="25" xfId="0" applyNumberFormat="1" applyFont="1" applyFill="1" applyBorder="1"/>
    <xf numFmtId="10" fontId="10" fillId="5" borderId="26" xfId="0" applyNumberFormat="1" applyFont="1" applyFill="1" applyBorder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27" fillId="5" borderId="27" xfId="0" applyFont="1" applyFill="1" applyBorder="1" applyAlignment="1">
      <alignment vertical="center"/>
    </xf>
    <xf numFmtId="0" fontId="13" fillId="5" borderId="0" xfId="0" applyFont="1" applyFill="1" applyAlignment="1">
      <alignment horizontal="center"/>
    </xf>
    <xf numFmtId="164" fontId="13" fillId="5" borderId="0" xfId="0" applyNumberFormat="1" applyFont="1" applyFill="1" applyAlignment="1">
      <alignment horizontal="center"/>
    </xf>
    <xf numFmtId="0" fontId="19" fillId="5" borderId="36" xfId="0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right" vertical="center"/>
    </xf>
    <xf numFmtId="0" fontId="10" fillId="5" borderId="0" xfId="0" applyFont="1" applyFill="1" applyAlignment="1">
      <alignment vertical="center"/>
    </xf>
    <xf numFmtId="0" fontId="19" fillId="5" borderId="36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6" fontId="13" fillId="5" borderId="0" xfId="0" applyNumberFormat="1" applyFont="1" applyFill="1" applyAlignment="1">
      <alignment horizontal="center"/>
    </xf>
    <xf numFmtId="0" fontId="21" fillId="5" borderId="13" xfId="0" applyFont="1" applyFill="1" applyBorder="1" applyAlignment="1">
      <alignment horizontal="center"/>
    </xf>
    <xf numFmtId="0" fontId="21" fillId="5" borderId="16" xfId="0" applyFont="1" applyFill="1" applyBorder="1" applyAlignment="1">
      <alignment horizontal="center"/>
    </xf>
    <xf numFmtId="0" fontId="20" fillId="5" borderId="30" xfId="0" applyFont="1" applyFill="1" applyBorder="1" applyAlignment="1">
      <alignment horizontal="left" vertical="center"/>
    </xf>
    <xf numFmtId="0" fontId="21" fillId="5" borderId="29" xfId="0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/>
    </xf>
    <xf numFmtId="0" fontId="20" fillId="5" borderId="13" xfId="0" applyFont="1" applyFill="1" applyBorder="1" applyAlignment="1">
      <alignment horizontal="left"/>
    </xf>
    <xf numFmtId="164" fontId="21" fillId="5" borderId="16" xfId="0" applyNumberFormat="1" applyFont="1" applyFill="1" applyBorder="1" applyAlignment="1">
      <alignment horizontal="right"/>
    </xf>
    <xf numFmtId="0" fontId="10" fillId="5" borderId="13" xfId="0" applyFont="1" applyFill="1" applyBorder="1"/>
    <xf numFmtId="0" fontId="20" fillId="5" borderId="30" xfId="0" applyFont="1" applyFill="1" applyBorder="1" applyAlignment="1">
      <alignment horizontal="left"/>
    </xf>
    <xf numFmtId="10" fontId="21" fillId="5" borderId="33" xfId="0" applyNumberFormat="1" applyFont="1" applyFill="1" applyBorder="1" applyAlignment="1">
      <alignment horizontal="right"/>
    </xf>
    <xf numFmtId="0" fontId="21" fillId="5" borderId="16" xfId="0" applyFont="1" applyFill="1" applyBorder="1" applyAlignment="1">
      <alignment horizontal="right"/>
    </xf>
    <xf numFmtId="0" fontId="20" fillId="5" borderId="37" xfId="0" applyFont="1" applyFill="1" applyBorder="1" applyAlignment="1">
      <alignment horizontal="left" vertical="center"/>
    </xf>
    <xf numFmtId="0" fontId="10" fillId="5" borderId="13" xfId="0" applyFont="1" applyFill="1" applyBorder="1" applyAlignment="1">
      <alignment vertical="center"/>
    </xf>
    <xf numFmtId="0" fontId="10" fillId="5" borderId="16" xfId="0" applyFont="1" applyFill="1" applyBorder="1" applyAlignment="1">
      <alignment vertical="center"/>
    </xf>
    <xf numFmtId="6" fontId="13" fillId="5" borderId="13" xfId="0" applyNumberFormat="1" applyFont="1" applyFill="1" applyBorder="1" applyAlignment="1">
      <alignment horizontal="right"/>
    </xf>
    <xf numFmtId="168" fontId="13" fillId="5" borderId="0" xfId="0" applyNumberFormat="1" applyFont="1" applyFill="1" applyAlignment="1">
      <alignment horizontal="left"/>
    </xf>
    <xf numFmtId="0" fontId="13" fillId="5" borderId="13" xfId="0" applyFont="1" applyFill="1" applyBorder="1" applyAlignment="1">
      <alignment horizontal="right"/>
    </xf>
    <xf numFmtId="164" fontId="13" fillId="5" borderId="0" xfId="0" applyNumberFormat="1" applyFont="1" applyFill="1" applyAlignment="1">
      <alignment horizontal="left"/>
    </xf>
    <xf numFmtId="0" fontId="21" fillId="5" borderId="0" xfId="0" applyFont="1" applyFill="1" applyAlignment="1">
      <alignment vertical="center"/>
    </xf>
    <xf numFmtId="164" fontId="13" fillId="5" borderId="14" xfId="0" applyNumberFormat="1" applyFont="1" applyFill="1" applyBorder="1" applyAlignment="1">
      <alignment horizontal="right"/>
    </xf>
    <xf numFmtId="9" fontId="13" fillId="5" borderId="27" xfId="0" applyNumberFormat="1" applyFont="1" applyFill="1" applyBorder="1" applyAlignment="1">
      <alignment horizontal="left"/>
    </xf>
    <xf numFmtId="0" fontId="20" fillId="5" borderId="31" xfId="0" applyFont="1" applyFill="1" applyBorder="1" applyAlignment="1">
      <alignment horizontal="left"/>
    </xf>
    <xf numFmtId="10" fontId="21" fillId="5" borderId="34" xfId="0" applyNumberFormat="1" applyFont="1" applyFill="1" applyBorder="1" applyAlignment="1">
      <alignment horizontal="right"/>
    </xf>
    <xf numFmtId="0" fontId="20" fillId="5" borderId="14" xfId="0" applyFont="1" applyFill="1" applyBorder="1" applyAlignment="1">
      <alignment horizontal="left"/>
    </xf>
    <xf numFmtId="164" fontId="21" fillId="5" borderId="17" xfId="0" applyNumberFormat="1" applyFont="1" applyFill="1" applyBorder="1" applyAlignment="1">
      <alignment horizontal="right"/>
    </xf>
    <xf numFmtId="0" fontId="19" fillId="5" borderId="30" xfId="0" applyFont="1" applyFill="1" applyBorder="1" applyAlignment="1">
      <alignment horizontal="left" vertical="center"/>
    </xf>
    <xf numFmtId="0" fontId="20" fillId="5" borderId="31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vertical="center"/>
    </xf>
    <xf numFmtId="0" fontId="13" fillId="5" borderId="0" xfId="0" applyFont="1" applyFill="1"/>
    <xf numFmtId="169" fontId="10" fillId="5" borderId="0" xfId="0" applyNumberFormat="1" applyFont="1" applyFill="1"/>
    <xf numFmtId="0" fontId="20" fillId="5" borderId="13" xfId="0" applyFont="1" applyFill="1" applyBorder="1"/>
    <xf numFmtId="1" fontId="21" fillId="5" borderId="16" xfId="0" applyNumberFormat="1" applyFont="1" applyFill="1" applyBorder="1"/>
    <xf numFmtId="0" fontId="20" fillId="5" borderId="14" xfId="0" applyFont="1" applyFill="1" applyBorder="1"/>
    <xf numFmtId="0" fontId="21" fillId="5" borderId="17" xfId="0" applyFont="1" applyFill="1" applyBorder="1"/>
    <xf numFmtId="0" fontId="10" fillId="5" borderId="14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right"/>
    </xf>
    <xf numFmtId="1" fontId="15" fillId="5" borderId="17" xfId="0" applyNumberFormat="1" applyFont="1" applyFill="1" applyBorder="1" applyAlignment="1">
      <alignment horizontal="left"/>
    </xf>
    <xf numFmtId="0" fontId="10" fillId="5" borderId="0" xfId="0" applyFont="1" applyFill="1" applyAlignment="1">
      <alignment horizontal="left" vertical="center"/>
    </xf>
    <xf numFmtId="0" fontId="21" fillId="5" borderId="29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center" vertical="center"/>
    </xf>
    <xf numFmtId="164" fontId="21" fillId="5" borderId="33" xfId="0" applyNumberFormat="1" applyFont="1" applyFill="1" applyBorder="1" applyAlignment="1">
      <alignment horizontal="right"/>
    </xf>
    <xf numFmtId="0" fontId="20" fillId="5" borderId="9" xfId="0" applyFont="1" applyFill="1" applyBorder="1" applyAlignment="1">
      <alignment horizontal="left" vertical="center"/>
    </xf>
    <xf numFmtId="164" fontId="21" fillId="5" borderId="34" xfId="0" applyNumberFormat="1" applyFont="1" applyFill="1" applyBorder="1" applyAlignment="1">
      <alignment horizontal="right"/>
    </xf>
    <xf numFmtId="0" fontId="20" fillId="5" borderId="6" xfId="0" applyFont="1" applyFill="1" applyBorder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0" fontId="27" fillId="5" borderId="0" xfId="0" applyFont="1" applyFill="1" applyAlignment="1">
      <alignment horizontal="left"/>
    </xf>
    <xf numFmtId="0" fontId="10" fillId="5" borderId="0" xfId="0" applyFont="1" applyFill="1" applyAlignment="1">
      <alignment horizontal="right"/>
    </xf>
    <xf numFmtId="0" fontId="12" fillId="5" borderId="0" xfId="0" applyFont="1" applyFill="1" applyAlignment="1">
      <alignment horizontal="right"/>
    </xf>
    <xf numFmtId="0" fontId="10" fillId="5" borderId="0" xfId="0" applyFont="1" applyFill="1" applyAlignment="1">
      <alignment horizontal="center" vertical="center" wrapText="1"/>
    </xf>
    <xf numFmtId="2" fontId="10" fillId="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right"/>
    </xf>
    <xf numFmtId="9" fontId="13" fillId="5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/>
    </xf>
    <xf numFmtId="3" fontId="10" fillId="5" borderId="0" xfId="0" applyNumberFormat="1" applyFont="1" applyFill="1" applyAlignment="1">
      <alignment horizontal="right"/>
    </xf>
    <xf numFmtId="164" fontId="10" fillId="5" borderId="0" xfId="0" applyNumberFormat="1" applyFont="1" applyFill="1" applyAlignment="1">
      <alignment horizontal="right"/>
    </xf>
    <xf numFmtId="0" fontId="12" fillId="5" borderId="0" xfId="0" applyFont="1" applyFill="1"/>
    <xf numFmtId="10" fontId="10" fillId="5" borderId="0" xfId="0" applyNumberFormat="1" applyFont="1" applyFill="1"/>
    <xf numFmtId="0" fontId="12" fillId="8" borderId="0" xfId="0" applyFont="1" applyFill="1"/>
    <xf numFmtId="0" fontId="9" fillId="5" borderId="0" xfId="2" applyFill="1" applyProtection="1"/>
    <xf numFmtId="0" fontId="10" fillId="5" borderId="8" xfId="0" applyFont="1" applyFill="1" applyBorder="1"/>
    <xf numFmtId="0" fontId="15" fillId="5" borderId="0" xfId="0" applyFont="1" applyFill="1"/>
    <xf numFmtId="14" fontId="24" fillId="5" borderId="0" xfId="0" applyNumberFormat="1" applyFont="1" applyFill="1"/>
    <xf numFmtId="0" fontId="24" fillId="5" borderId="0" xfId="0" applyFont="1" applyFill="1" applyAlignment="1">
      <alignment horizontal="center"/>
    </xf>
    <xf numFmtId="0" fontId="9" fillId="8" borderId="0" xfId="2" applyFill="1" applyAlignment="1" applyProtection="1">
      <alignment horizontal="center" vertical="center"/>
    </xf>
    <xf numFmtId="0" fontId="9" fillId="5" borderId="0" xfId="2" applyFill="1" applyAlignment="1" applyProtection="1">
      <alignment horizontal="center" vertical="center"/>
    </xf>
    <xf numFmtId="165" fontId="9" fillId="5" borderId="0" xfId="2" applyNumberFormat="1" applyFill="1" applyProtection="1"/>
    <xf numFmtId="0" fontId="3" fillId="5" borderId="0" xfId="0" applyFont="1" applyFill="1"/>
    <xf numFmtId="0" fontId="27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3" fillId="5" borderId="0" xfId="0" applyNumberFormat="1" applyFont="1" applyFill="1"/>
    <xf numFmtId="0" fontId="34" fillId="5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34" fillId="5" borderId="0" xfId="0" applyFont="1" applyFill="1" applyAlignment="1">
      <alignment horizontal="right"/>
    </xf>
    <xf numFmtId="0" fontId="34" fillId="5" borderId="0" xfId="0" applyFont="1" applyFill="1"/>
    <xf numFmtId="165" fontId="34" fillId="5" borderId="0" xfId="0" applyNumberFormat="1" applyFont="1" applyFill="1"/>
    <xf numFmtId="1" fontId="35" fillId="5" borderId="16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2" fillId="5" borderId="13" xfId="0" applyFont="1" applyFill="1" applyBorder="1"/>
    <xf numFmtId="0" fontId="10" fillId="5" borderId="0" xfId="0" applyFont="1" applyFill="1" applyAlignment="1">
      <alignment horizontal="center" vertical="center"/>
    </xf>
    <xf numFmtId="10" fontId="13" fillId="5" borderId="16" xfId="0" applyNumberFormat="1" applyFont="1" applyFill="1" applyBorder="1" applyAlignment="1">
      <alignment horizontal="center"/>
    </xf>
    <xf numFmtId="10" fontId="13" fillId="5" borderId="17" xfId="0" applyNumberFormat="1" applyFont="1" applyFill="1" applyBorder="1" applyAlignment="1">
      <alignment horizontal="center"/>
    </xf>
    <xf numFmtId="0" fontId="34" fillId="5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 vertical="center" wrapText="1"/>
    </xf>
    <xf numFmtId="165" fontId="12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/>
    <xf numFmtId="166" fontId="7" fillId="5" borderId="0" xfId="1" applyNumberFormat="1" applyFont="1" applyFill="1" applyAlignment="1" applyProtection="1">
      <alignment horizontal="right" vertical="center" wrapText="1"/>
    </xf>
    <xf numFmtId="10" fontId="7" fillId="5" borderId="0" xfId="1" applyNumberFormat="1" applyFont="1" applyFill="1" applyAlignment="1" applyProtection="1">
      <alignment horizontal="center" wrapText="1"/>
    </xf>
    <xf numFmtId="0" fontId="8" fillId="5" borderId="0" xfId="0" applyFont="1" applyFill="1"/>
    <xf numFmtId="0" fontId="7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wrapText="1"/>
    </xf>
    <xf numFmtId="0" fontId="5" fillId="5" borderId="0" xfId="0" applyFont="1" applyFill="1"/>
    <xf numFmtId="166" fontId="2" fillId="5" borderId="0" xfId="1" applyNumberFormat="1" applyFont="1" applyFill="1" applyAlignment="1" applyProtection="1">
      <alignment horizontal="right" vertical="center" wrapText="1"/>
    </xf>
    <xf numFmtId="10" fontId="2" fillId="5" borderId="0" xfId="1" applyNumberFormat="1" applyFont="1" applyFill="1" applyAlignment="1" applyProtection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165" fontId="2" fillId="5" borderId="0" xfId="0" applyNumberFormat="1" applyFont="1" applyFill="1"/>
    <xf numFmtId="0" fontId="31" fillId="7" borderId="0" xfId="0" applyFont="1" applyFill="1"/>
    <xf numFmtId="0" fontId="17" fillId="8" borderId="0" xfId="0" applyFont="1" applyFill="1" applyAlignment="1">
      <alignment horizontal="center" wrapText="1"/>
    </xf>
    <xf numFmtId="0" fontId="41" fillId="5" borderId="0" xfId="2" applyFont="1" applyFill="1" applyAlignment="1" applyProtection="1">
      <alignment horizontal="center" vertical="center"/>
    </xf>
    <xf numFmtId="0" fontId="40" fillId="5" borderId="0" xfId="2" applyFont="1" applyFill="1" applyAlignment="1" applyProtection="1">
      <alignment horizontal="center" vertical="center"/>
    </xf>
    <xf numFmtId="1" fontId="10" fillId="5" borderId="0" xfId="0" applyNumberFormat="1" applyFont="1" applyFill="1" applyAlignment="1">
      <alignment horizontal="right"/>
    </xf>
    <xf numFmtId="14" fontId="11" fillId="5" borderId="0" xfId="0" applyNumberFormat="1" applyFont="1" applyFill="1" applyAlignment="1">
      <alignment horizontal="center" vertical="center" wrapText="1"/>
    </xf>
    <xf numFmtId="166" fontId="11" fillId="5" borderId="0" xfId="0" applyNumberFormat="1" applyFont="1" applyFill="1" applyAlignment="1">
      <alignment horizontal="center" vertical="center" wrapText="1"/>
    </xf>
    <xf numFmtId="164" fontId="11" fillId="5" borderId="0" xfId="0" applyNumberFormat="1" applyFont="1" applyFill="1" applyAlignment="1">
      <alignment horizontal="center" vertical="center" wrapText="1"/>
    </xf>
    <xf numFmtId="0" fontId="31" fillId="5" borderId="0" xfId="0" applyFont="1" applyFill="1"/>
    <xf numFmtId="0" fontId="43" fillId="5" borderId="46" xfId="0" applyFont="1" applyFill="1" applyBorder="1"/>
    <xf numFmtId="0" fontId="18" fillId="5" borderId="45" xfId="0" applyFont="1" applyFill="1" applyBorder="1"/>
    <xf numFmtId="0" fontId="42" fillId="5" borderId="45" xfId="0" applyFont="1" applyFill="1" applyBorder="1"/>
    <xf numFmtId="0" fontId="13" fillId="5" borderId="46" xfId="0" applyFont="1" applyFill="1" applyBorder="1" applyAlignment="1">
      <alignment vertical="center"/>
    </xf>
    <xf numFmtId="14" fontId="14" fillId="5" borderId="51" xfId="0" applyNumberFormat="1" applyFont="1" applyFill="1" applyBorder="1" applyAlignment="1" applyProtection="1">
      <alignment vertical="center"/>
      <protection locked="0"/>
    </xf>
    <xf numFmtId="10" fontId="14" fillId="5" borderId="51" xfId="0" applyNumberFormat="1" applyFont="1" applyFill="1" applyBorder="1" applyAlignment="1" applyProtection="1">
      <alignment vertical="center"/>
      <protection locked="0"/>
    </xf>
    <xf numFmtId="164" fontId="14" fillId="5" borderId="51" xfId="0" applyNumberFormat="1" applyFont="1" applyFill="1" applyBorder="1" applyAlignment="1" applyProtection="1">
      <alignment vertical="center"/>
      <protection locked="0"/>
    </xf>
    <xf numFmtId="0" fontId="13" fillId="5" borderId="47" xfId="0" applyFont="1" applyFill="1" applyBorder="1" applyAlignment="1">
      <alignment vertical="center"/>
    </xf>
    <xf numFmtId="0" fontId="14" fillId="5" borderId="52" xfId="0" applyFont="1" applyFill="1" applyBorder="1" applyAlignment="1" applyProtection="1">
      <alignment vertical="center"/>
      <protection locked="0"/>
    </xf>
    <xf numFmtId="0" fontId="13" fillId="5" borderId="46" xfId="0" applyFont="1" applyFill="1" applyBorder="1"/>
    <xf numFmtId="0" fontId="13" fillId="5" borderId="47" xfId="0" applyFont="1" applyFill="1" applyBorder="1"/>
    <xf numFmtId="0" fontId="0" fillId="5" borderId="0" xfId="0" applyFill="1"/>
    <xf numFmtId="0" fontId="15" fillId="5" borderId="0" xfId="0" applyFont="1" applyFill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/>
    </xf>
    <xf numFmtId="0" fontId="18" fillId="7" borderId="0" xfId="0" applyFont="1" applyFill="1" applyAlignment="1">
      <alignment horizontal="center"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7" fillId="5" borderId="0" xfId="0" applyFont="1" applyFill="1"/>
    <xf numFmtId="0" fontId="38" fillId="5" borderId="0" xfId="0" applyFont="1" applyFill="1" applyAlignment="1">
      <alignment horizontal="center"/>
    </xf>
    <xf numFmtId="0" fontId="38" fillId="5" borderId="0" xfId="0" applyFont="1" applyFill="1"/>
    <xf numFmtId="0" fontId="23" fillId="5" borderId="44" xfId="0" applyFont="1" applyFill="1" applyBorder="1" applyAlignment="1">
      <alignment vertical="center" wrapText="1"/>
    </xf>
    <xf numFmtId="0" fontId="25" fillId="5" borderId="42" xfId="0" applyFont="1" applyFill="1" applyBorder="1"/>
    <xf numFmtId="0" fontId="25" fillId="5" borderId="53" xfId="0" applyFont="1" applyFill="1" applyBorder="1"/>
    <xf numFmtId="0" fontId="0" fillId="5" borderId="0" xfId="0" applyFill="1"/>
    <xf numFmtId="0" fontId="15" fillId="5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1" fillId="7" borderId="0" xfId="0" applyFont="1" applyFill="1"/>
    <xf numFmtId="0" fontId="12" fillId="7" borderId="12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27" xfId="0" applyFont="1" applyFill="1" applyBorder="1" applyAlignment="1">
      <alignment horizontal="left" vertical="center" wrapText="1"/>
    </xf>
    <xf numFmtId="0" fontId="22" fillId="5" borderId="17" xfId="0" applyFont="1" applyFill="1" applyBorder="1" applyAlignment="1">
      <alignment horizontal="left" vertical="center" wrapText="1"/>
    </xf>
    <xf numFmtId="0" fontId="12" fillId="7" borderId="12" xfId="0" applyFont="1" applyFill="1" applyBorder="1"/>
    <xf numFmtId="0" fontId="12" fillId="5" borderId="15" xfId="0" applyFont="1" applyFill="1" applyBorder="1"/>
    <xf numFmtId="0" fontId="21" fillId="5" borderId="28" xfId="0" applyFont="1" applyFill="1" applyBorder="1" applyAlignment="1">
      <alignment horizontal="left"/>
    </xf>
    <xf numFmtId="0" fontId="10" fillId="5" borderId="28" xfId="0" applyFont="1" applyFill="1" applyBorder="1"/>
    <xf numFmtId="0" fontId="19" fillId="7" borderId="12" xfId="0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14" fontId="16" fillId="5" borderId="14" xfId="0" applyNumberFormat="1" applyFont="1" applyFill="1" applyBorder="1" applyAlignment="1">
      <alignment horizontal="center" vertical="center"/>
    </xf>
    <xf numFmtId="14" fontId="16" fillId="5" borderId="27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/>
    </xf>
    <xf numFmtId="0" fontId="26" fillId="5" borderId="0" xfId="0" applyFont="1" applyFill="1"/>
    <xf numFmtId="0" fontId="28" fillId="5" borderId="0" xfId="0" applyFont="1" applyFill="1" applyAlignment="1">
      <alignment horizontal="center"/>
    </xf>
    <xf numFmtId="0" fontId="29" fillId="5" borderId="0" xfId="0" applyFont="1" applyFill="1"/>
    <xf numFmtId="0" fontId="11" fillId="7" borderId="12" xfId="0" applyFont="1" applyFill="1" applyBorder="1" applyAlignment="1">
      <alignment horizontal="center"/>
    </xf>
    <xf numFmtId="0" fontId="17" fillId="7" borderId="0" xfId="0" applyFont="1" applyFill="1" applyAlignment="1">
      <alignment horizontal="center" vertical="center"/>
    </xf>
    <xf numFmtId="0" fontId="17" fillId="7" borderId="12" xfId="0" applyFont="1" applyFill="1" applyBorder="1" applyAlignment="1">
      <alignment horizontal="center"/>
    </xf>
    <xf numFmtId="0" fontId="19" fillId="7" borderId="13" xfId="0" applyFont="1" applyFill="1" applyBorder="1"/>
    <xf numFmtId="0" fontId="12" fillId="5" borderId="16" xfId="0" applyFont="1" applyFill="1" applyBorder="1"/>
    <xf numFmtId="0" fontId="31" fillId="5" borderId="14" xfId="0" applyFont="1" applyFill="1" applyBorder="1" applyAlignment="1">
      <alignment horizontal="center"/>
    </xf>
    <xf numFmtId="0" fontId="12" fillId="5" borderId="17" xfId="0" applyFont="1" applyFill="1" applyBorder="1"/>
    <xf numFmtId="0" fontId="36" fillId="5" borderId="0" xfId="0" applyFont="1" applyFill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137">
    <dxf>
      <font>
        <color rgb="FFE74C3C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7AC943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E74C3C"/>
      </font>
    </dxf>
    <dxf>
      <font>
        <color rgb="FFE74C3C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00FF88"/>
      </font>
    </dxf>
    <dxf>
      <font>
        <color rgb="FFFF4757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7AC943"/>
      </font>
    </dxf>
    <dxf>
      <font>
        <color rgb="FFE74C3C"/>
      </font>
    </dxf>
    <dxf>
      <font>
        <color theme="1" tint="0.499984740745262"/>
      </font>
    </dxf>
    <dxf>
      <font>
        <color rgb="FF7AC943"/>
      </font>
    </dxf>
    <dxf>
      <font>
        <color rgb="FFE74C3C"/>
      </font>
    </dxf>
    <dxf>
      <font>
        <color rgb="FFF39C12"/>
      </font>
    </dxf>
    <dxf>
      <font>
        <color rgb="FF7AC943"/>
      </font>
    </dxf>
    <dxf>
      <font>
        <color rgb="FF7AC943"/>
      </font>
    </dxf>
    <dxf>
      <font>
        <color rgb="FF7AC943"/>
      </font>
    </dxf>
    <dxf>
      <font>
        <color rgb="FF7AC943"/>
      </font>
    </dxf>
    <dxf>
      <font>
        <color rgb="FFE74C3C"/>
      </font>
    </dxf>
    <dxf>
      <font>
        <color rgb="FF7AC943"/>
      </font>
    </dxf>
    <dxf>
      <font>
        <color rgb="FFE74C3C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scheme val="none"/>
      </font>
      <numFmt numFmtId="170" formatCode="0.00\%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inor"/>
      </font>
      <numFmt numFmtId="0" formatCode="General"/>
      <fill>
        <patternFill patternType="solid">
          <fgColor indexed="64"/>
          <bgColor rgb="FF1A1A2E"/>
        </patternFill>
      </fill>
      <alignment horizontal="center" vertical="center" textRotation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  <protection locked="1"/>
    </dxf>
    <dxf>
      <font>
        <name val="Calibri Light"/>
      </font>
      <fill>
        <patternFill patternType="solid">
          <fgColor indexed="64"/>
          <bgColor rgb="FF1A1A2E"/>
        </patternFill>
      </fill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bottom" textRotation="0" wrapText="1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center" vertical="bottom" textRotation="0" wrapText="1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none"/>
      </font>
      <numFmt numFmtId="166" formatCode="0.0000"/>
      <fill>
        <patternFill patternType="solid">
          <fgColor indexed="64"/>
          <bgColor rgb="FF1A1A2E"/>
        </patternFill>
      </fill>
      <alignment horizontal="general" vertical="center" textRotation="0" wrapText="1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none"/>
      </font>
      <numFmt numFmtId="166" formatCode="0.0000"/>
      <fill>
        <patternFill patternType="solid">
          <fgColor indexed="64"/>
          <bgColor rgb="FF1A1A2E"/>
        </patternFill>
      </fill>
      <alignment horizontal="right" vertical="center" textRotation="0" wrapText="1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name val="Calibri Light"/>
        <scheme val="none"/>
      </font>
      <fill>
        <patternFill patternType="solid">
          <fgColor indexed="64"/>
          <bgColor rgb="FF1A1A2E"/>
        </patternFill>
      </fill>
      <alignment horizontal="general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name val="Calibri Light"/>
        <scheme val="none"/>
      </font>
      <fill>
        <patternFill patternType="solid">
          <fgColor indexed="64"/>
          <bgColor rgb="FF1A1A2E"/>
        </patternFill>
      </fill>
      <alignment horizontal="center" vertical="bottom" textRotation="0" wrapText="1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name val="Calibri Light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none"/>
      </font>
      <fill>
        <patternFill patternType="solid">
          <fgColor indexed="64"/>
          <bgColor rgb="FF1A1A2E"/>
        </patternFill>
      </fill>
      <alignment horizontal="general" vertical="center" textRotation="0" wrapText="1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1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indent="0" justifyLastLine="0" shrinkToFit="0" readingOrder="0"/>
      <protection locked="1"/>
    </dxf>
    <dxf>
      <border diagonalUp="0" diagonalDown="0">
        <left style="thin">
          <color rgb="FF66C8EE"/>
        </left>
        <right style="thin">
          <color rgb="FF66C8EE"/>
        </right>
        <top style="thin">
          <color rgb="FF66C8EE"/>
        </top>
        <bottom style="thin">
          <color rgb="FF66C8EE"/>
        </bottom>
      </border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protection locked="1"/>
    </dxf>
    <dxf>
      <font>
        <b/>
        <strike val="0"/>
        <outline val="0"/>
        <shadow val="0"/>
        <u val="none"/>
        <vertAlign val="baseline"/>
        <sz val="11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border>
        <top style="thin">
          <color rgb="FFE0E0E0"/>
        </top>
      </border>
    </dxf>
    <dxf>
      <border diagonalUp="0" diagonalDown="0">
        <left style="thin">
          <color rgb="FF66C8EE"/>
        </left>
        <right style="thin">
          <color rgb="FF66C8EE"/>
        </right>
        <top style="thin">
          <color rgb="FF66C8EE"/>
        </top>
        <bottom style="thin">
          <color rgb="FF66C8EE"/>
        </bottom>
      </border>
    </dxf>
    <dxf>
      <font>
        <sz val="10"/>
        <color rgb="FFFFFFFF"/>
        <name val="Segoe UI"/>
      </font>
      <fill>
        <patternFill patternType="solid">
          <fgColor indexed="64"/>
          <bgColor rgb="FF1A1A2E"/>
        </patternFill>
      </fill>
      <protection locked="1"/>
    </dxf>
    <dxf>
      <border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/>
        <bottom/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border>
        <top style="thin">
          <color rgb="FFE0E0E0"/>
        </top>
      </border>
    </dxf>
    <dxf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wrapText="0"/>
      <protection locked="1"/>
    </dxf>
    <dxf>
      <border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wrapText="0"/>
      <border diagonalUp="0" diagonalDown="0">
        <left style="thin">
          <color rgb="FFE0E0E0"/>
        </left>
        <right style="thin">
          <color rgb="FFE0E0E0"/>
        </right>
        <top/>
        <bottom/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left" vertical="center" wrapText="0"/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border>
        <top style="thin">
          <color rgb="FFE0E0E0"/>
        </top>
      </border>
    </dxf>
    <dxf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vertical="center" wrapText="0"/>
      <protection locked="1"/>
    </dxf>
    <dxf>
      <border>
        <bottom style="thin">
          <color rgb="FFE0E0E0"/>
        </bottom>
      </border>
    </dxf>
    <dxf>
      <font>
        <b/>
        <strike val="0"/>
        <outline val="0"/>
        <shadow val="0"/>
        <u val="none"/>
        <vertAlign val="baseline"/>
        <sz val="10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/>
        <bottom/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2" formatCode="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b/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1"/>
    </dxf>
    <dxf>
      <border>
        <top style="thin">
          <color rgb="FFE0E0E0"/>
        </top>
      </border>
    </dxf>
    <dxf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protection locked="1"/>
    </dxf>
    <dxf>
      <border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/>
        <bottom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3" formatCode="0%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4" formatCode="0.00%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2" formatCode="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protection locked="1"/>
    </dxf>
    <dxf>
      <font>
        <strike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1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/>
    </dxf>
    <dxf>
      <font>
        <strike val="0"/>
        <outline val="0"/>
        <shadow val="0"/>
        <u val="none"/>
        <vertAlign val="baseline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center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2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numFmt numFmtId="1" formatCode="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numFmt numFmtId="164" formatCode="&quot;$&quot;#,##0.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numFmt numFmtId="166" formatCode="0.0000"/>
      <fill>
        <patternFill patternType="solid">
          <fgColor indexed="64"/>
          <bgColor rgb="FF1A1A2E"/>
        </patternFill>
      </fill>
      <alignment horizontal="right" vertical="bottom" textRotation="0" wrapText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textRotation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left" textRotation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alignment horizontal="center" textRotation="0" indent="0" justifyLastLine="0" shrinkToFit="0" readingOrder="0"/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numFmt numFmtId="19" formatCode="dd/mm/yyyy"/>
      <fill>
        <patternFill patternType="solid">
          <fgColor indexed="64"/>
          <bgColor rgb="FF1A1A2E"/>
        </patternFill>
      </fill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protection locked="0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protection locked="1"/>
    </dxf>
    <dxf>
      <font>
        <strike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1A1A2E"/>
        </patternFill>
      </fill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D9FF"/>
        <name val="Segoe UI"/>
        <scheme val="none"/>
      </font>
      <fill>
        <patternFill patternType="solid">
          <fgColor indexed="64"/>
          <bgColor rgb="FF1A1A2E"/>
        </patternFill>
      </fill>
      <alignment horizontal="center" vertical="center" textRotation="0" wrapText="1" indent="0" justifyLastLine="0" shrinkToFit="0" readingOrder="0"/>
      <protection locked="1"/>
    </dxf>
  </dxfs>
  <tableStyles count="0" defaultTableStyle="TableStyleMedium2" defaultPivotStyle="PivotStyleLight16"/>
  <colors>
    <mruColors>
      <color rgb="FFB0B0B0"/>
      <color rgb="FF1A1A2E"/>
      <color rgb="FFEAF6FF"/>
      <color rgb="FFE74C3C"/>
      <color rgb="FF7AC943"/>
      <color rgb="FF4A4A4A"/>
      <color rgb="FF00263F"/>
      <color rgb="FF009FE3"/>
      <color rgb="FF2D9CD8"/>
      <color rgb="FFF7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💰 Composición del Portafolio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F34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2E-4F76-982A-F8E68D560894}"/>
              </c:ext>
            </c:extLst>
          </c:dPt>
          <c:dPt>
            <c:idx val="1"/>
            <c:bubble3D val="0"/>
            <c:spPr>
              <a:solidFill>
                <a:srgbClr val="7AC9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2E-4F76-982A-F8E68D5608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Portafolio!$A$28:$A$29</c:f>
              <c:strCache>
                <c:ptCount val="2"/>
                <c:pt idx="0">
                  <c:v>💵 Aportaciones</c:v>
                </c:pt>
                <c:pt idx="1">
                  <c:v>📈 Ganancia</c:v>
                </c:pt>
              </c:strCache>
            </c:strRef>
          </c:cat>
          <c:val>
            <c:numRef>
              <c:f>Portafolio!$B$28:$B$29</c:f>
              <c:numCache>
                <c:formatCode>"$"#,##0.00</c:formatCode>
                <c:ptCount val="2"/>
                <c:pt idx="0">
                  <c:v>510.67944870728002</c:v>
                </c:pt>
                <c:pt idx="1">
                  <c:v>44.637891341350041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E-4F76-982A-F8E68D560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1A1A2E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2E"/>
    </a:solidFill>
    <a:ln w="9525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📊 Distribución del Portafolio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D9FF"/>
            </a:solidFill>
          </c:spPr>
          <c:dPt>
            <c:idx val="0"/>
            <c:bubble3D val="0"/>
            <c:spPr>
              <a:solidFill>
                <a:srgbClr val="0F34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D-4660-A21C-E8CC7295DB56}"/>
              </c:ext>
            </c:extLst>
          </c:dPt>
          <c:dPt>
            <c:idx val="1"/>
            <c:bubble3D val="0"/>
            <c:spPr>
              <a:solidFill>
                <a:srgbClr val="5334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6D-4660-A21C-E8CC7295DB56}"/>
              </c:ext>
            </c:extLst>
          </c:dPt>
          <c:dPt>
            <c:idx val="2"/>
            <c:bubble3D val="0"/>
            <c:spPr>
              <a:solidFill>
                <a:srgbClr val="1653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D-4660-A21C-E8CC7295DB5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Portafolio!$A$6:$A$8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Portafolio!$J$6:$J$8</c:f>
              <c:numCache>
                <c:formatCode>0.00%</c:formatCode>
                <c:ptCount val="3"/>
                <c:pt idx="0">
                  <c:v>0.40155475343664293</c:v>
                </c:pt>
                <c:pt idx="1">
                  <c:v>0.30013645278446444</c:v>
                </c:pt>
                <c:pt idx="2">
                  <c:v>0.29830879377889263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D-4660-A21C-E8CC7295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1A1A2E"/>
        </a:solidFill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📈 Rendimiento por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Rendimiento %</c:v>
          </c:tx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D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3E-4871-984A-70D4CC8C6067}"/>
              </c:ext>
            </c:extLst>
          </c:dPt>
          <c:dPt>
            <c:idx val="1"/>
            <c:invertIfNegative val="0"/>
            <c:bubble3D val="0"/>
            <c:spPr>
              <a:solidFill>
                <a:srgbClr val="7AC9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3E-4871-984A-70D4CC8C6067}"/>
              </c:ext>
            </c:extLst>
          </c:dPt>
          <c:dPt>
            <c:idx val="2"/>
            <c:invertIfNegative val="0"/>
            <c:bubble3D val="0"/>
            <c:spPr>
              <a:solidFill>
                <a:srgbClr val="FFB8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3E-4871-984A-70D4CC8C6067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Portafolio!$A$6:$A$8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Portafolio!$H$6:$H$8</c:f>
              <c:numCache>
                <c:formatCode>0.00%</c:formatCode>
                <c:ptCount val="3"/>
                <c:pt idx="0">
                  <c:v>9.795269475520979E-2</c:v>
                </c:pt>
                <c:pt idx="1">
                  <c:v>4.9135534512807243E-2</c:v>
                </c:pt>
                <c:pt idx="2">
                  <c:v>0.11389431177121515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E-4871-984A-70D4CC8C6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811471"/>
        <c:axId val="2114802703"/>
      </c:barChart>
      <c:catAx>
        <c:axId val="42481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DC3C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2114802703"/>
        <c:crosses val="autoZero"/>
        <c:auto val="1"/>
        <c:lblAlgn val="ctr"/>
        <c:lblOffset val="100"/>
        <c:noMultiLvlLbl val="0"/>
      </c:catAx>
      <c:valAx>
        <c:axId val="211480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CEFF1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BDC3C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424811471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🎯 Peso Actual vs Objetivo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Peso Actual</c:v>
          </c:tx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A1A2E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Portafolio!$N$6:$N$8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Portafolio!$O$6:$O$8</c:f>
              <c:numCache>
                <c:formatCode>0.00%</c:formatCode>
                <c:ptCount val="3"/>
                <c:pt idx="0">
                  <c:v>0.40155475343664293</c:v>
                </c:pt>
                <c:pt idx="1">
                  <c:v>0.30013645278446444</c:v>
                </c:pt>
                <c:pt idx="2">
                  <c:v>0.29830879377889263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4ACE-9FFA-FDC02B5952DF}"/>
            </c:ext>
          </c:extLst>
        </c:ser>
        <c:ser>
          <c:idx val="1"/>
          <c:order val="1"/>
          <c:tx>
            <c:v>Peso Objetivo</c:v>
          </c:tx>
          <c:spPr>
            <a:solidFill>
              <a:srgbClr val="FF9F1C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1A1A2E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Portafolio!$N$6:$N$8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Portafolio!$P$6:$P$8</c:f>
              <c:numCache>
                <c:formatCode>0.00%</c:formatCode>
                <c:ptCount val="3"/>
                <c:pt idx="0">
                  <c:v>0.4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B-4ACE-9FFA-FDC02B59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553382575"/>
        <c:axId val="553375855"/>
      </c:barChart>
      <c:catAx>
        <c:axId val="55338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DC3C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553375855"/>
        <c:crosses val="autoZero"/>
        <c:auto val="1"/>
        <c:lblAlgn val="ctr"/>
        <c:lblOffset val="100"/>
        <c:noMultiLvlLbl val="0"/>
      </c:catAx>
      <c:valAx>
        <c:axId val="5533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CEFF1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BDC3C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553382575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💰 Ganancia por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Ganancia Total</c:v>
          </c:tx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D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28-4430-B7C3-BA590332E347}"/>
              </c:ext>
            </c:extLst>
          </c:dPt>
          <c:dPt>
            <c:idx val="1"/>
            <c:invertIfNegative val="0"/>
            <c:bubble3D val="0"/>
            <c:spPr>
              <a:solidFill>
                <a:srgbClr val="7AC9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28-4430-B7C3-BA590332E347}"/>
              </c:ext>
            </c:extLst>
          </c:dPt>
          <c:dPt>
            <c:idx val="2"/>
            <c:invertIfNegative val="0"/>
            <c:bubble3D val="0"/>
            <c:spPr>
              <a:solidFill>
                <a:srgbClr val="FFB8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28-4430-B7C3-BA590332E347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Portafolio!$A$6:$A$8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Portafolio!$G$6:$G$8</c:f>
              <c:numCache>
                <c:formatCode>"$"#,##0.00</c:formatCode>
                <c:ptCount val="3"/>
                <c:pt idx="0">
                  <c:v>19.893846623710004</c:v>
                </c:pt>
                <c:pt idx="1">
                  <c:v>7.8059194967600547</c:v>
                </c:pt>
                <c:pt idx="2">
                  <c:v>16.938125220879982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8-4430-B7C3-BA590332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40911"/>
        <c:axId val="431641871"/>
      </c:barChart>
      <c:catAx>
        <c:axId val="43164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DC3C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431641871"/>
        <c:crosses val="autoZero"/>
        <c:auto val="1"/>
        <c:lblAlgn val="ctr"/>
        <c:lblOffset val="100"/>
        <c:noMultiLvlLbl val="0"/>
      </c:catAx>
      <c:valAx>
        <c:axId val="4316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CEFF1"/>
              </a:solidFill>
              <a:prstDash val="solid"/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solidFill>
              <a:srgbClr val="BDC3C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431640911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💰 Composición del Portafolio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D9FF"/>
            </a:solidFill>
          </c:spPr>
          <c:dPt>
            <c:idx val="0"/>
            <c:bubble3D val="0"/>
            <c:spPr>
              <a:solidFill>
                <a:srgbClr val="0F34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37-4078-81AB-DF8BA4A89D78}"/>
              </c:ext>
            </c:extLst>
          </c:dPt>
          <c:dPt>
            <c:idx val="1"/>
            <c:bubble3D val="0"/>
            <c:spPr>
              <a:solidFill>
                <a:srgbClr val="5334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C37-4078-81AB-DF8BA4A89D7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D9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Portafolio!$A$28:$A$29</c:f>
              <c:strCache>
                <c:ptCount val="2"/>
                <c:pt idx="0">
                  <c:v>💵 Aportaciones</c:v>
                </c:pt>
                <c:pt idx="1">
                  <c:v>📈 Ganancia</c:v>
                </c:pt>
              </c:strCache>
            </c:strRef>
          </c:cat>
          <c:val>
            <c:numRef>
              <c:f>Portafolio!$B$28:$B$29</c:f>
              <c:numCache>
                <c:formatCode>"$"#,##0.00</c:formatCode>
                <c:ptCount val="2"/>
                <c:pt idx="0">
                  <c:v>510.67944870728002</c:v>
                </c:pt>
                <c:pt idx="1">
                  <c:v>44.637891341350041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7-4078-81AB-DF8BA4A89D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1A1A2E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📊 Distribución: Actual vs Objetivo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Dashboard!$E$13</c:f>
              <c:strCache>
                <c:ptCount val="1"/>
                <c:pt idx="0">
                  <c:v>Peso Actual</c:v>
                </c:pt>
              </c:strCache>
            </c:strRef>
          </c:tx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Dashboard!$D$14:$D$16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Dashboard!$E$14:$E$16</c:f>
              <c:numCache>
                <c:formatCode>0.00%</c:formatCode>
                <c:ptCount val="3"/>
                <c:pt idx="0">
                  <c:v>0.40155475343664293</c:v>
                </c:pt>
                <c:pt idx="1">
                  <c:v>0.30013645278446444</c:v>
                </c:pt>
                <c:pt idx="2">
                  <c:v>0.29830879377889263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5-4FE9-BEF3-B9575CA221FB}"/>
            </c:ext>
          </c:extLst>
        </c:ser>
        <c:ser>
          <c:idx val="1"/>
          <c:order val="1"/>
          <c:tx>
            <c:strRef>
              <c:f>Dashboard!$F$13</c:f>
              <c:strCache>
                <c:ptCount val="1"/>
                <c:pt idx="0">
                  <c:v>Peso Objetivo</c:v>
                </c:pt>
              </c:strCache>
            </c:strRef>
          </c:tx>
          <c:spPr>
            <a:solidFill>
              <a:srgbClr val="FF9F1C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Dashboard!$D$14:$D$16</c:f>
              <c:strCache>
                <c:ptCount val="3"/>
                <c:pt idx="0">
                  <c:v>SPYM</c:v>
                </c:pt>
                <c:pt idx="1">
                  <c:v>SCHD</c:v>
                </c:pt>
                <c:pt idx="2">
                  <c:v>SCHG</c:v>
                </c:pt>
              </c:strCache>
            </c:strRef>
          </c:cat>
          <c:val>
            <c:numRef>
              <c:f>Dashboard!$F$14:$F$16</c:f>
              <c:numCache>
                <c:formatCode>0.00%</c:formatCode>
                <c:ptCount val="3"/>
                <c:pt idx="0">
                  <c:v>0.4</c:v>
                </c:pt>
                <c:pt idx="1">
                  <c:v>0.3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5-4FE9-BEF3-B9575CA221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119932111"/>
        <c:axId val="2119933071"/>
      </c:barChart>
      <c:catAx>
        <c:axId val="211993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9933071"/>
        <c:crosses val="autoZero"/>
        <c:auto val="1"/>
        <c:lblAlgn val="ctr"/>
        <c:lblOffset val="100"/>
        <c:noMultiLvlLbl val="0"/>
      </c:catAx>
      <c:valAx>
        <c:axId val="2119933071"/>
        <c:scaling>
          <c:orientation val="minMax"/>
          <c:max val="0.5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9932111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Calibri Light"/>
              <a:ea typeface="Calibri Light"/>
              <a:cs typeface="Calibri Light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🏆 Top 5 Holdings Reales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>
        <c:manualLayout>
          <c:xMode val="edge"/>
          <c:yMode val="edge"/>
          <c:x val="5.9459459459459463E-2"/>
          <c:y val="0.17391304347826086"/>
          <c:w val="0.7567567567567568"/>
          <c:h val="0.652173913043478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Dashboard!$M$6:$M$10</c:f>
              <c:strCache>
                <c:ptCount val="5"/>
                <c:pt idx="0">
                  <c:v>NVDA</c:v>
                </c:pt>
                <c:pt idx="1">
                  <c:v>AAPL</c:v>
                </c:pt>
                <c:pt idx="2">
                  <c:v>MSFT</c:v>
                </c:pt>
                <c:pt idx="3">
                  <c:v>AMZN</c:v>
                </c:pt>
                <c:pt idx="4">
                  <c:v>GOOGL</c:v>
                </c:pt>
              </c:strCache>
            </c:strRef>
          </c:cat>
          <c:val>
            <c:numRef>
              <c:f>Dashboard!$N$6:$N$10</c:f>
              <c:numCache>
                <c:formatCode>0.00%</c:formatCode>
                <c:ptCount val="5"/>
                <c:pt idx="0">
                  <c:v>7.1659470805020012E-2</c:v>
                </c:pt>
                <c:pt idx="1">
                  <c:v>5.5982165918751485E-2</c:v>
                </c:pt>
                <c:pt idx="2">
                  <c:v>3.8632401360660158E-2</c:v>
                </c:pt>
                <c:pt idx="3">
                  <c:v>3.3516096610814533E-2</c:v>
                </c:pt>
                <c:pt idx="4">
                  <c:v>2.9881177750984391E-2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5-45C0-A5D9-0042DAE57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1289343"/>
        <c:axId val="961279263"/>
      </c:barChart>
      <c:catAx>
        <c:axId val="96128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1279263"/>
        <c:crosses val="autoZero"/>
        <c:auto val="1"/>
        <c:lblAlgn val="ctr"/>
        <c:lblOffset val="100"/>
        <c:noMultiLvlLbl val="0"/>
      </c:catAx>
      <c:valAx>
        <c:axId val="961279263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1289343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📱 Inversión por 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Dashboard!$N$17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D9FF"/>
            </a:solidFill>
          </c:spPr>
          <c:dPt>
            <c:idx val="0"/>
            <c:bubble3D val="0"/>
            <c:spPr>
              <a:solidFill>
                <a:srgbClr val="1621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20-4BC8-A850-3CCAD9657BBE}"/>
              </c:ext>
            </c:extLst>
          </c:dPt>
          <c:dPt>
            <c:idx val="1"/>
            <c:bubble3D val="0"/>
            <c:spPr>
              <a:solidFill>
                <a:srgbClr val="0F34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20-4BC8-A850-3CCAD9657BB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17E3F27-EA79-488D-A4B1-EE3E6829FCD2}" type="CATEGORYNAME">
                      <a:rPr lang="en-US">
                        <a:solidFill>
                          <a:srgbClr val="EAF6FF"/>
                        </a:solidFill>
                      </a:rPr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A919AA55-6A6E-402B-A144-438B3CD09CEA}" type="VALUE">
                      <a:rPr lang="en-US" baseline="0">
                        <a:solidFill>
                          <a:srgbClr val="EAF6FF"/>
                        </a:solidFill>
                      </a:rPr>
                      <a:pPr/>
                      <a:t>[VALOR]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A20-4BC8-A850-3CCAD9657B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760CA9-2092-419A-8983-9060D713B89B}" type="CATEGORYNAME">
                      <a:rPr lang="en-US">
                        <a:solidFill>
                          <a:srgbClr val="EAF6FF"/>
                        </a:solidFill>
                      </a:rPr>
                      <a:pPr/>
                      <a:t>[NOMBRE DE CATEGORÍA]</a:t>
                    </a:fld>
                    <a:r>
                      <a:rPr lang="en-US" baseline="0">
                        <a:solidFill>
                          <a:srgbClr val="EAF6FF"/>
                        </a:solidFill>
                      </a:rPr>
                      <a:t>
</a:t>
                    </a:r>
                    <a:fld id="{33692826-4859-4FC2-BA1C-24BE605BFE0F}" type="VALUE">
                      <a:rPr lang="en-US" baseline="0">
                        <a:solidFill>
                          <a:srgbClr val="EAF6FF"/>
                        </a:solidFill>
                      </a:rPr>
                      <a:pPr/>
                      <a:t>[VALOR]</a:t>
                    </a:fld>
                    <a:endParaRPr lang="en-US" baseline="0">
                      <a:solidFill>
                        <a:srgbClr val="EAF6FF"/>
                      </a:solidFill>
                    </a:endParaRP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A20-4BC8-A850-3CCAD9657BB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Dashboard!$M$18:$M$19</c:f>
              <c:strCache>
                <c:ptCount val="2"/>
                <c:pt idx="0">
                  <c:v>Fintual</c:v>
                </c:pt>
                <c:pt idx="1">
                  <c:v>Webull</c:v>
                </c:pt>
              </c:strCache>
            </c:strRef>
          </c:cat>
          <c:val>
            <c:numRef>
              <c:f>Dashboard!$N$18:$N$19</c:f>
              <c:numCache>
                <c:formatCode>"$"#,##0.00</c:formatCode>
                <c:ptCount val="2"/>
                <c:pt idx="0">
                  <c:v>453.50764500728008</c:v>
                </c:pt>
                <c:pt idx="1">
                  <c:v>57.171803699999998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0-4BC8-A850-3CCAD965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1A1A2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🎯 Progreso hacia la Meta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827096552251357"/>
          <c:y val="0.17391302791696492"/>
          <c:w val="0.77606337435975847"/>
          <c:h val="0.569818181818181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Dashboard!$Q$22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7AC94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AC9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C37-4DB4-85BC-0A39A0EA8DAE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Dashboard!$P$23:$P$24</c:f>
              <c:strCache>
                <c:ptCount val="2"/>
                <c:pt idx="0">
                  <c:v>Actual</c:v>
                </c:pt>
                <c:pt idx="1">
                  <c:v>Meta</c:v>
                </c:pt>
              </c:strCache>
            </c:strRef>
          </c:cat>
          <c:val>
            <c:numRef>
              <c:f>Dashboard!$Q$23:$Q$24</c:f>
              <c:numCache>
                <c:formatCode>"$"#,##0.00</c:formatCode>
                <c:ptCount val="2"/>
                <c:pt idx="0">
                  <c:v>555.31734004863006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2D-4316-9C96-B825EE7E5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800639"/>
        <c:axId val="948793919"/>
      </c:barChart>
      <c:catAx>
        <c:axId val="94880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8793919"/>
        <c:crosses val="autoZero"/>
        <c:auto val="1"/>
        <c:lblAlgn val="ctr"/>
        <c:lblOffset val="100"/>
        <c:noMultiLvlLbl val="0"/>
      </c:catAx>
      <c:valAx>
        <c:axId val="948793919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8800639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📈 S&amp;P 500 vs Portafolio 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5127932034811439"/>
          <c:y val="0.15181811023622044"/>
          <c:w val="0.71799884205650766"/>
          <c:h val="0.69364409448818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YTD%</c:v>
                </c:pt>
              </c:strCache>
            </c:strRef>
          </c:tx>
          <c:spPr>
            <a:solidFill>
              <a:srgbClr val="A66B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66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49-4CEE-B447-5D123A9961F0}"/>
              </c:ext>
            </c:extLst>
          </c:dPt>
          <c:dPt>
            <c:idx val="1"/>
            <c:invertIfNegative val="0"/>
            <c:bubble3D val="0"/>
            <c:spPr>
              <a:solidFill>
                <a:srgbClr val="A66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9-4CEE-B447-5D123A9961F0}"/>
              </c:ext>
            </c:extLst>
          </c:dPt>
          <c:dPt>
            <c:idx val="2"/>
            <c:invertIfNegative val="0"/>
            <c:bubble3D val="0"/>
            <c:spPr>
              <a:solidFill>
                <a:srgbClr val="A66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9-4CEE-B447-5D123A9961F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Dashboard!$A$19:$A$21</c:f>
              <c:strCache>
                <c:ptCount val="3"/>
                <c:pt idx="0">
                  <c:v>S&amp;P500</c:v>
                </c:pt>
                <c:pt idx="1">
                  <c:v>Portafolio</c:v>
                </c:pt>
                <c:pt idx="2">
                  <c:v>Diferencia vs Benchmark</c:v>
                </c:pt>
              </c:strCache>
            </c:strRef>
          </c:cat>
          <c:val>
            <c:numRef>
              <c:f>Dashboard!$B$19:$B$21</c:f>
              <c:numCache>
                <c:formatCode>0.00%</c:formatCode>
                <c:ptCount val="3"/>
                <c:pt idx="0">
                  <c:v>0.10820147254709674</c:v>
                </c:pt>
                <c:pt idx="1">
                  <c:v>8.7408826523850097E-2</c:v>
                </c:pt>
                <c:pt idx="2">
                  <c:v>-2.0792646023246639E-2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9-4CEE-B447-5D123A996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641622720"/>
        <c:axId val="641624160"/>
      </c:barChart>
      <c:catAx>
        <c:axId val="64162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9B9B9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Calibri Light"/>
                <a:ea typeface="Calibri Light"/>
                <a:cs typeface="Calibri Light"/>
              </a:defRPr>
            </a:pPr>
            <a:endParaRPr lang="es-MX"/>
          </a:p>
        </c:txPr>
        <c:crossAx val="641624160"/>
        <c:crosses val="autoZero"/>
        <c:auto val="1"/>
        <c:lblAlgn val="ctr"/>
        <c:lblOffset val="100"/>
        <c:noMultiLvlLbl val="0"/>
      </c:catAx>
      <c:valAx>
        <c:axId val="641624160"/>
        <c:scaling>
          <c:orientation val="minMax"/>
          <c:max val="0.15"/>
          <c:min val="-0.05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9B9B9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FF"/>
                </a:solidFill>
                <a:latin typeface="Calibri Light"/>
                <a:ea typeface="Calibri Light"/>
                <a:cs typeface="Calibri Light"/>
              </a:defRPr>
            </a:pPr>
            <a:endParaRPr lang="es-MX"/>
          </a:p>
        </c:txPr>
        <c:crossAx val="641622720"/>
        <c:crosses val="autoZero"/>
        <c:crossBetween val="between"/>
      </c:valAx>
      <c:spPr>
        <a:solidFill>
          <a:srgbClr val="1A1A2E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  <a:softEdge rad="12700"/>
        </a:effectLst>
      </c:spPr>
    </c:plotArea>
    <c:plotVisOnly val="1"/>
    <c:dispBlanksAs val="gap"/>
    <c:showDLblsOverMax val="0"/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>
      <a:outerShdw blurRad="50800" dist="38100" dir="2700000" algn="tl" rotWithShape="0">
        <a:prstClr val="black">
          <a:alpha val="40000"/>
        </a:prstClr>
      </a:outerShdw>
      <a:softEdge rad="635000"/>
    </a:effectLst>
  </c:spPr>
  <c:txPr>
    <a:bodyPr/>
    <a:lstStyle/>
    <a:p>
      <a:pPr>
        <a:defRPr b="1" baseline="0">
          <a:solidFill>
            <a:schemeClr val="tx2"/>
          </a:solidFill>
          <a:latin typeface="Calibri Light" panose="020F030202020403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💵 Dividendos por ETF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Segoe UI"/>
              <a:ea typeface="Segoe UI"/>
              <a:cs typeface="Segoe UI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6BB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6B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1E-48C0-A222-09C60E8BF3DA}"/>
              </c:ext>
            </c:extLst>
          </c:dPt>
          <c:dPt>
            <c:idx val="2"/>
            <c:invertIfNegative val="0"/>
            <c:bubble3D val="0"/>
            <c:spPr>
              <a:solidFill>
                <a:srgbClr val="FF6B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E-48C0-A222-09C60E8BF3DA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Dashboard!$S$7:$S$9</c:f>
              <c:strCache>
                <c:ptCount val="3"/>
                <c:pt idx="0">
                  <c:v>💵 SPYM</c:v>
                </c:pt>
                <c:pt idx="1">
                  <c:v>💵 SCHD</c:v>
                </c:pt>
                <c:pt idx="2">
                  <c:v>💵 SCHG</c:v>
                </c:pt>
              </c:strCache>
            </c:strRef>
          </c:cat>
          <c:val>
            <c:numRef>
              <c:f>Dashboard!$T$7:$T$9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E-48C0-A222-09C60E8B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950112"/>
        <c:axId val="460946272"/>
      </c:barChart>
      <c:catAx>
        <c:axId val="4609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946272"/>
        <c:crosses val="autoZero"/>
        <c:auto val="1"/>
        <c:lblAlgn val="ctr"/>
        <c:lblOffset val="100"/>
        <c:noMultiLvlLbl val="0"/>
      </c:catAx>
      <c:valAx>
        <c:axId val="4609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950112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D9FF"/>
                </a:solidFill>
                <a:latin typeface="Calibri Light"/>
                <a:ea typeface="Calibri Light"/>
                <a:cs typeface="Calibri Light"/>
              </a:defRPr>
            </a:pPr>
            <a:r>
              <a:rPr lang="en-US"/>
              <a:t>🏆 Top 10 Holdings Reales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D9FF"/>
              </a:solidFill>
              <a:latin typeface="Calibri Light"/>
              <a:ea typeface="Calibri Light"/>
              <a:cs typeface="Calibri Light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HHIReal!$K$11</c:f>
              <c:strCache>
                <c:ptCount val="1"/>
                <c:pt idx="0">
                  <c:v>Peso Total</c:v>
                </c:pt>
              </c:strCache>
            </c:strRef>
          </c:tx>
          <c:spPr>
            <a:solidFill>
              <a:srgbClr val="00D9FF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HHIReal!$J$12:$J$21</c:f>
              <c:strCache>
                <c:ptCount val="10"/>
                <c:pt idx="0">
                  <c:v>NVDA</c:v>
                </c:pt>
                <c:pt idx="1">
                  <c:v>AAPL</c:v>
                </c:pt>
                <c:pt idx="2">
                  <c:v>MSFT</c:v>
                </c:pt>
                <c:pt idx="3">
                  <c:v>AMZN</c:v>
                </c:pt>
                <c:pt idx="4">
                  <c:v>GOOGL</c:v>
                </c:pt>
                <c:pt idx="5">
                  <c:v>AVGO</c:v>
                </c:pt>
                <c:pt idx="6">
                  <c:v>GOOG</c:v>
                </c:pt>
                <c:pt idx="7">
                  <c:v>UNH</c:v>
                </c:pt>
                <c:pt idx="8">
                  <c:v>TXN</c:v>
                </c:pt>
                <c:pt idx="9">
                  <c:v>TSLA</c:v>
                </c:pt>
              </c:strCache>
            </c:strRef>
          </c:cat>
          <c:val>
            <c:numRef>
              <c:f>HHIReal!$K$12:$K$21</c:f>
              <c:numCache>
                <c:formatCode>0.00%</c:formatCode>
                <c:ptCount val="10"/>
                <c:pt idx="0">
                  <c:v>7.1659470805020012E-2</c:v>
                </c:pt>
                <c:pt idx="1">
                  <c:v>5.5982165918751485E-2</c:v>
                </c:pt>
                <c:pt idx="2">
                  <c:v>3.8632401360660158E-2</c:v>
                </c:pt>
                <c:pt idx="3">
                  <c:v>3.3516096610814533E-2</c:v>
                </c:pt>
                <c:pt idx="4">
                  <c:v>2.9881177750984391E-2</c:v>
                </c:pt>
                <c:pt idx="5">
                  <c:v>2.5959695928409961E-2</c:v>
                </c:pt>
                <c:pt idx="6">
                  <c:v>2.3777520327982346E-2</c:v>
                </c:pt>
                <c:pt idx="7">
                  <c:v>2.2487001899135675E-2</c:v>
                </c:pt>
                <c:pt idx="8">
                  <c:v>2.0010486762876124E-2</c:v>
                </c:pt>
                <c:pt idx="9">
                  <c:v>1.9897223421407331E-2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0-4756-9824-296685292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935643616"/>
        <c:axId val="1935655136"/>
      </c:barChart>
      <c:catAx>
        <c:axId val="193564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35655136"/>
        <c:crosses val="autoZero"/>
        <c:auto val="1"/>
        <c:lblAlgn val="ctr"/>
        <c:lblOffset val="100"/>
        <c:noMultiLvlLbl val="0"/>
      </c:catAx>
      <c:valAx>
        <c:axId val="193565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35643616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Calibri Light"/>
              <a:ea typeface="Calibri Light"/>
              <a:cs typeface="Calibri Light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D9FF"/>
                </a:solidFill>
                <a:latin typeface="Calibri Light"/>
                <a:ea typeface="Calibri Light"/>
                <a:cs typeface="Calibri Light"/>
              </a:defRPr>
            </a:pPr>
            <a:r>
              <a:rPr lang="en-US"/>
              <a:t>📈 Evolución del Portafolio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D9FF"/>
              </a:solidFill>
              <a:latin typeface="Calibri Light"/>
              <a:ea typeface="Calibri Light"/>
              <a:cs typeface="Calibri Light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Historial!$B$6</c:f>
              <c:strCache>
                <c:ptCount val="1"/>
                <c:pt idx="0">
                  <c:v>💰 Valor Portafolio</c:v>
                </c:pt>
              </c:strCache>
            </c:strRef>
          </c:tx>
          <c:spPr>
            <a:ln w="31750" cap="rnd">
              <a:solidFill>
                <a:srgbClr val="00D9F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00D9FF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 Light"/>
                    <a:ea typeface="Calibri Light"/>
                    <a:cs typeface="Calibri Ligh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Historial!$A$7:$A$32</c:f>
              <c:numCache>
                <c:formatCode>m/d/yyyy</c:formatCode>
                <c:ptCount val="26"/>
                <c:pt idx="0">
                  <c:v>46177</c:v>
                </c:pt>
              </c:numCache>
            </c:numRef>
          </c:cat>
          <c:val>
            <c:numRef>
              <c:f>Historial!$B$7:$B$32</c:f>
              <c:numCache>
                <c:formatCode>[$$-80A]#,##0.00</c:formatCode>
                <c:ptCount val="26"/>
                <c:pt idx="0">
                  <c:v>555.31734004863006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B-4FFB-8D4F-776C038D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991936"/>
        <c:axId val="1620000096"/>
      </c:lineChart>
      <c:dateAx>
        <c:axId val="16199919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0000096"/>
        <c:crosses val="autoZero"/>
        <c:auto val="1"/>
        <c:lblOffset val="100"/>
        <c:baseTimeUnit val="days"/>
      </c:dateAx>
      <c:valAx>
        <c:axId val="16200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80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9991936"/>
        <c:crosses val="autoZero"/>
        <c:crossBetween val="between"/>
      </c:valAx>
      <c:spPr>
        <a:solidFill>
          <a:srgbClr val="1A1A2E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Calibri Light"/>
              <a:ea typeface="Calibri Light"/>
              <a:cs typeface="Calibri Light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12700" cap="flat" cmpd="sng" algn="ctr">
      <a:solidFill>
        <a:srgbClr val="00D9FF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Historial!A1"/><Relationship Id="rId7" Type="http://schemas.openxmlformats.org/officeDocument/2006/relationships/chart" Target="../charts/chart1.xml"/><Relationship Id="rId2" Type="http://schemas.openxmlformats.org/officeDocument/2006/relationships/hyperlink" Target="#Dashboard!A1"/><Relationship Id="rId1" Type="http://schemas.openxmlformats.org/officeDocument/2006/relationships/hyperlink" Target="#Portafolio!A1"/><Relationship Id="rId6" Type="http://schemas.openxmlformats.org/officeDocument/2006/relationships/hyperlink" Target="#HHIReal!A1"/><Relationship Id="rId5" Type="http://schemas.openxmlformats.org/officeDocument/2006/relationships/hyperlink" Target="#'Graficos Dashboard'!A1"/><Relationship Id="rId4" Type="http://schemas.openxmlformats.org/officeDocument/2006/relationships/hyperlink" Target="#'Base de Dato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5</xdr:row>
      <xdr:rowOff>146050</xdr:rowOff>
    </xdr:from>
    <xdr:to>
      <xdr:col>1</xdr:col>
      <xdr:colOff>2346325</xdr:colOff>
      <xdr:row>7</xdr:row>
      <xdr:rowOff>82550</xdr:rowOff>
    </xdr:to>
    <xdr:sp macro="" textlink="">
      <xdr:nvSpPr>
        <xdr:cNvPr id="2" name="btn_Portafolio" descr="Ir a Portafol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F680D2-4D06-4A89-8E86-9D4002008F59}"/>
            </a:ext>
          </a:extLst>
        </xdr:cNvPr>
        <xdr:cNvSpPr/>
      </xdr:nvSpPr>
      <xdr:spPr>
        <a:xfrm>
          <a:off x="381000" y="1651000"/>
          <a:ext cx="2222500" cy="698500"/>
        </a:xfrm>
        <a:prstGeom prst="roundRect">
          <a:avLst/>
        </a:prstGeom>
        <a:solidFill>
          <a:srgbClr val="2E75B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📈 Portafolio</a:t>
          </a:r>
        </a:p>
      </xdr:txBody>
    </xdr:sp>
    <xdr:clientData/>
  </xdr:twoCellAnchor>
  <xdr:twoCellAnchor>
    <xdr:from>
      <xdr:col>1</xdr:col>
      <xdr:colOff>2536825</xdr:colOff>
      <xdr:row>5</xdr:row>
      <xdr:rowOff>146050</xdr:rowOff>
    </xdr:from>
    <xdr:to>
      <xdr:col>2</xdr:col>
      <xdr:colOff>2216150</xdr:colOff>
      <xdr:row>7</xdr:row>
      <xdr:rowOff>82550</xdr:rowOff>
    </xdr:to>
    <xdr:sp macro="" textlink="">
      <xdr:nvSpPr>
        <xdr:cNvPr id="3" name="btn_Dashboard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FAC8EF-2A45-4DDE-B99C-3FB1831E5D47}"/>
            </a:ext>
          </a:extLst>
        </xdr:cNvPr>
        <xdr:cNvSpPr/>
      </xdr:nvSpPr>
      <xdr:spPr>
        <a:xfrm>
          <a:off x="2794000" y="1651000"/>
          <a:ext cx="2222500" cy="698500"/>
        </a:xfrm>
        <a:prstGeom prst="roundRect">
          <a:avLst/>
        </a:prstGeom>
        <a:solidFill>
          <a:srgbClr val="548235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📊 Dashboard</a:t>
          </a:r>
        </a:p>
      </xdr:txBody>
    </xdr:sp>
    <xdr:clientData/>
  </xdr:twoCellAnchor>
  <xdr:twoCellAnchor>
    <xdr:from>
      <xdr:col>2</xdr:col>
      <xdr:colOff>2406650</xdr:colOff>
      <xdr:row>5</xdr:row>
      <xdr:rowOff>146050</xdr:rowOff>
    </xdr:from>
    <xdr:to>
      <xdr:col>3</xdr:col>
      <xdr:colOff>2085975</xdr:colOff>
      <xdr:row>7</xdr:row>
      <xdr:rowOff>82550</xdr:rowOff>
    </xdr:to>
    <xdr:sp macro="" textlink="">
      <xdr:nvSpPr>
        <xdr:cNvPr id="4" name="btn_Historia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4A1341-F633-4A33-A160-791A4548BCE6}"/>
            </a:ext>
          </a:extLst>
        </xdr:cNvPr>
        <xdr:cNvSpPr/>
      </xdr:nvSpPr>
      <xdr:spPr>
        <a:xfrm>
          <a:off x="5207000" y="1651000"/>
          <a:ext cx="2222500" cy="698500"/>
        </a:xfrm>
        <a:prstGeom prst="roundRect">
          <a:avLst/>
        </a:prstGeom>
        <a:solidFill>
          <a:srgbClr val="BF8F00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📉 Historial</a:t>
          </a:r>
        </a:p>
      </xdr:txBody>
    </xdr:sp>
    <xdr:clientData/>
  </xdr:twoCellAnchor>
  <xdr:twoCellAnchor>
    <xdr:from>
      <xdr:col>1</xdr:col>
      <xdr:colOff>123825</xdr:colOff>
      <xdr:row>8</xdr:row>
      <xdr:rowOff>82550</xdr:rowOff>
    </xdr:from>
    <xdr:to>
      <xdr:col>1</xdr:col>
      <xdr:colOff>2346325</xdr:colOff>
      <xdr:row>10</xdr:row>
      <xdr:rowOff>19050</xdr:rowOff>
    </xdr:to>
    <xdr:sp macro="" textlink="">
      <xdr:nvSpPr>
        <xdr:cNvPr id="5" name="btn_Base de Dat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2B1E09-10C5-46F8-8882-527985D7A9E2}"/>
            </a:ext>
          </a:extLst>
        </xdr:cNvPr>
        <xdr:cNvSpPr/>
      </xdr:nvSpPr>
      <xdr:spPr>
        <a:xfrm>
          <a:off x="381000" y="2540000"/>
          <a:ext cx="2222500" cy="698500"/>
        </a:xfrm>
        <a:prstGeom prst="roundRect">
          <a:avLst/>
        </a:prstGeom>
        <a:solidFill>
          <a:srgbClr val="7030A0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🗃️ Base de Datos</a:t>
          </a:r>
        </a:p>
      </xdr:txBody>
    </xdr:sp>
    <xdr:clientData/>
  </xdr:twoCellAnchor>
  <xdr:twoCellAnchor>
    <xdr:from>
      <xdr:col>1</xdr:col>
      <xdr:colOff>2536825</xdr:colOff>
      <xdr:row>8</xdr:row>
      <xdr:rowOff>82550</xdr:rowOff>
    </xdr:from>
    <xdr:to>
      <xdr:col>2</xdr:col>
      <xdr:colOff>2216150</xdr:colOff>
      <xdr:row>10</xdr:row>
      <xdr:rowOff>19050</xdr:rowOff>
    </xdr:to>
    <xdr:sp macro="" textlink="">
      <xdr:nvSpPr>
        <xdr:cNvPr id="6" name="btn_Graficos Dashboar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D155DC-C2D5-4948-B900-0B3C5422F45A}"/>
            </a:ext>
          </a:extLst>
        </xdr:cNvPr>
        <xdr:cNvSpPr/>
      </xdr:nvSpPr>
      <xdr:spPr>
        <a:xfrm>
          <a:off x="2794000" y="2540000"/>
          <a:ext cx="2222500" cy="698500"/>
        </a:xfrm>
        <a:prstGeom prst="roundRect">
          <a:avLst/>
        </a:prstGeom>
        <a:solidFill>
          <a:srgbClr val="C55A11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📊 Gráficos</a:t>
          </a:r>
        </a:p>
      </xdr:txBody>
    </xdr:sp>
    <xdr:clientData/>
  </xdr:twoCellAnchor>
  <xdr:twoCellAnchor>
    <xdr:from>
      <xdr:col>2</xdr:col>
      <xdr:colOff>2406650</xdr:colOff>
      <xdr:row>8</xdr:row>
      <xdr:rowOff>82550</xdr:rowOff>
    </xdr:from>
    <xdr:to>
      <xdr:col>3</xdr:col>
      <xdr:colOff>2085975</xdr:colOff>
      <xdr:row>10</xdr:row>
      <xdr:rowOff>19050</xdr:rowOff>
    </xdr:to>
    <xdr:sp macro="" textlink="">
      <xdr:nvSpPr>
        <xdr:cNvPr id="7" name="btn_HHIRea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C76CA4-5CA8-4BBF-81CB-D629F5721242}"/>
            </a:ext>
          </a:extLst>
        </xdr:cNvPr>
        <xdr:cNvSpPr/>
      </xdr:nvSpPr>
      <xdr:spPr>
        <a:xfrm>
          <a:off x="5207000" y="2540000"/>
          <a:ext cx="2222500" cy="698500"/>
        </a:xfrm>
        <a:prstGeom prst="roundRect">
          <a:avLst/>
        </a:prstGeom>
        <a:solidFill>
          <a:srgbClr val="1F6F6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s-MX" sz="13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🧩 HHI Real</a:t>
          </a:r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12</xdr:col>
      <xdr:colOff>419100</xdr:colOff>
      <xdr:row>19</xdr:row>
      <xdr:rowOff>0</xdr:rowOff>
    </xdr:to>
    <xdr:graphicFrame macro="">
      <xdr:nvGraphicFramePr>
        <xdr:cNvPr id="9" name="ChartComposicionInicio">
          <a:extLst>
            <a:ext uri="{FF2B5EF4-FFF2-40B4-BE49-F238E27FC236}">
              <a16:creationId xmlns:a16="http://schemas.microsoft.com/office/drawing/2014/main" id="{88764F8F-C30E-B7AD-4561-ACB4C7C5F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10</xdr:row>
      <xdr:rowOff>88900</xdr:rowOff>
    </xdr:from>
    <xdr:to>
      <xdr:col>7</xdr:col>
      <xdr:colOff>1092200</xdr:colOff>
      <xdr:row>22</xdr:row>
      <xdr:rowOff>22225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ABB5FB-B7E5-A7D8-06B3-C046AB550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117475</xdr:colOff>
      <xdr:row>10</xdr:row>
      <xdr:rowOff>88900</xdr:rowOff>
    </xdr:from>
    <xdr:to>
      <xdr:col>11</xdr:col>
      <xdr:colOff>606425</xdr:colOff>
      <xdr:row>22</xdr:row>
      <xdr:rowOff>22225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F4FD848-9DE9-B335-D83B-20E98728A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793750</xdr:colOff>
      <xdr:row>24</xdr:row>
      <xdr:rowOff>22225</xdr:rowOff>
    </xdr:from>
    <xdr:to>
      <xdr:col>7</xdr:col>
      <xdr:colOff>1092200</xdr:colOff>
      <xdr:row>36</xdr:row>
      <xdr:rowOff>22225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0FCCAE5-EFBE-FF71-183B-608DD2869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117475</xdr:colOff>
      <xdr:row>24</xdr:row>
      <xdr:rowOff>22225</xdr:rowOff>
    </xdr:from>
    <xdr:to>
      <xdr:col>11</xdr:col>
      <xdr:colOff>606425</xdr:colOff>
      <xdr:row>36</xdr:row>
      <xdr:rowOff>22225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CC8191B-206D-A317-81B6-C39E38E0E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752475</xdr:colOff>
      <xdr:row>36</xdr:row>
      <xdr:rowOff>174625</xdr:rowOff>
    </xdr:from>
    <xdr:to>
      <xdr:col>7</xdr:col>
      <xdr:colOff>1123950</xdr:colOff>
      <xdr:row>51</xdr:row>
      <xdr:rowOff>57150</xdr:rowOff>
    </xdr:to>
    <xdr:graphicFrame macro="">
      <xdr:nvGraphicFramePr>
        <xdr:cNvPr id="4" name="ChartComposicion">
          <a:extLst>
            <a:ext uri="{FF2B5EF4-FFF2-40B4-BE49-F238E27FC236}">
              <a16:creationId xmlns:a16="http://schemas.microsoft.com/office/drawing/2014/main" id="{9B874BE4-940C-FE62-2E94-2473F15EB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6</xdr:row>
      <xdr:rowOff>146050</xdr:rowOff>
    </xdr:from>
    <xdr:to>
      <xdr:col>4</xdr:col>
      <xdr:colOff>749300</xdr:colOff>
      <xdr:row>22</xdr:row>
      <xdr:rowOff>139700</xdr:rowOff>
    </xdr:to>
    <xdr:graphicFrame macro="">
      <xdr:nvGraphicFramePr>
        <xdr:cNvPr id="2" name="ChartDistribucion">
          <a:extLst>
            <a:ext uri="{FF2B5EF4-FFF2-40B4-BE49-F238E27FC236}">
              <a16:creationId xmlns:a16="http://schemas.microsoft.com/office/drawing/2014/main" id="{65270BB9-9EA1-22C7-AAFE-8D1FCBD4A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23</xdr:row>
      <xdr:rowOff>206375</xdr:rowOff>
    </xdr:from>
    <xdr:to>
      <xdr:col>4</xdr:col>
      <xdr:colOff>749300</xdr:colOff>
      <xdr:row>38</xdr:row>
      <xdr:rowOff>190500</xdr:rowOff>
    </xdr:to>
    <xdr:graphicFrame macro="">
      <xdr:nvGraphicFramePr>
        <xdr:cNvPr id="4" name="ChartTop5New">
          <a:extLst>
            <a:ext uri="{FF2B5EF4-FFF2-40B4-BE49-F238E27FC236}">
              <a16:creationId xmlns:a16="http://schemas.microsoft.com/office/drawing/2014/main" id="{CE2973A5-C86D-636F-5D65-4C401451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111125</xdr:colOff>
      <xdr:row>23</xdr:row>
      <xdr:rowOff>206375</xdr:rowOff>
    </xdr:from>
    <xdr:to>
      <xdr:col>9</xdr:col>
      <xdr:colOff>606425</xdr:colOff>
      <xdr:row>38</xdr:row>
      <xdr:rowOff>190500</xdr:rowOff>
    </xdr:to>
    <xdr:graphicFrame macro="">
      <xdr:nvGraphicFramePr>
        <xdr:cNvPr id="5" name="ChartAppNew">
          <a:extLst>
            <a:ext uri="{FF2B5EF4-FFF2-40B4-BE49-F238E27FC236}">
              <a16:creationId xmlns:a16="http://schemas.microsoft.com/office/drawing/2014/main" id="{084D2BB7-29A7-58B0-48B5-13C2BEA27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40</xdr:row>
      <xdr:rowOff>171450</xdr:rowOff>
    </xdr:from>
    <xdr:to>
      <xdr:col>4</xdr:col>
      <xdr:colOff>749300</xdr:colOff>
      <xdr:row>56</xdr:row>
      <xdr:rowOff>88900</xdr:rowOff>
    </xdr:to>
    <xdr:graphicFrame macro="">
      <xdr:nvGraphicFramePr>
        <xdr:cNvPr id="6" name="ChartMetaNew">
          <a:extLst>
            <a:ext uri="{FF2B5EF4-FFF2-40B4-BE49-F238E27FC236}">
              <a16:creationId xmlns:a16="http://schemas.microsoft.com/office/drawing/2014/main" id="{2F4E16F3-5A73-DABE-37DC-38559DF74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111125</xdr:colOff>
      <xdr:row>6</xdr:row>
      <xdr:rowOff>146050</xdr:rowOff>
    </xdr:from>
    <xdr:to>
      <xdr:col>9</xdr:col>
      <xdr:colOff>606425</xdr:colOff>
      <xdr:row>22</xdr:row>
      <xdr:rowOff>139700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9B02AA32-EC52-D75A-C35F-F0DA8FE21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111125</xdr:colOff>
      <xdr:row>40</xdr:row>
      <xdr:rowOff>171450</xdr:rowOff>
    </xdr:from>
    <xdr:to>
      <xdr:col>9</xdr:col>
      <xdr:colOff>606425</xdr:colOff>
      <xdr:row>56</xdr:row>
      <xdr:rowOff>88900</xdr:rowOff>
    </xdr:to>
    <xdr:graphicFrame macro="">
      <xdr:nvGraphicFramePr>
        <xdr:cNvPr id="3" name="ChartDividendos">
          <a:extLst>
            <a:ext uri="{FF2B5EF4-FFF2-40B4-BE49-F238E27FC236}">
              <a16:creationId xmlns:a16="http://schemas.microsoft.com/office/drawing/2014/main" id="{8BC6D007-CEFF-34A0-CDA9-0C7EC7EF0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107950</xdr:colOff>
      <xdr:row>9</xdr:row>
      <xdr:rowOff>342900</xdr:rowOff>
    </xdr:from>
    <xdr:to>
      <xdr:col>16</xdr:col>
      <xdr:colOff>3175</xdr:colOff>
      <xdr:row>19</xdr:row>
      <xdr:rowOff>342900</xdr:rowOff>
    </xdr:to>
    <xdr:graphicFrame macro="">
      <xdr:nvGraphicFramePr>
        <xdr:cNvPr id="3" name="ChartTop10HHI">
          <a:extLst>
            <a:ext uri="{FF2B5EF4-FFF2-40B4-BE49-F238E27FC236}">
              <a16:creationId xmlns:a16="http://schemas.microsoft.com/office/drawing/2014/main" id="{5820FD34-CF1C-3ECD-597A-3132916B5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32</xdr:row>
      <xdr:rowOff>69850</xdr:rowOff>
    </xdr:from>
    <xdr:to>
      <xdr:col>4</xdr:col>
      <xdr:colOff>1454150</xdr:colOff>
      <xdr:row>51</xdr:row>
      <xdr:rowOff>6350</xdr:rowOff>
    </xdr:to>
    <xdr:graphicFrame macro="">
      <xdr:nvGraphicFramePr>
        <xdr:cNvPr id="2" name="ChartHistorial">
          <a:extLst>
            <a:ext uri="{FF2B5EF4-FFF2-40B4-BE49-F238E27FC236}">
              <a16:creationId xmlns:a16="http://schemas.microsoft.com/office/drawing/2014/main" id="{4FA4E3C4-5BAE-B504-94A4-CF1BC671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8">
  <rv s="0">
    <v>https://www.bing.com/financeapi/forcetrigger?t=a23ebh&amp;q=ARCX%3aSPLG&amp;form=skydnc</v>
    <v>Learn more on Bing</v>
  </rv>
  <rv s="1">
    <v>es-ES</v>
    <v>a23ebh</v>
    <v>268435456</v>
    <v>1</v>
    <v>Con tecnología de Refinitiv</v>
    <v>0</v>
    <v>1</v>
    <v>SS SPDR Ptf S&amp;P 500 (ARCX:SPYM)</v>
    <v>3</v>
    <v>4</v>
    <v>Finance</v>
    <v>5</v>
    <v>ARCX</v>
    <v>88.53</v>
    <v>0.99760000000000004</v>
    <v>0.3</v>
    <v>-2.4690000000000003E-3</v>
    <v>3.3779999999999999E-3</v>
    <v>-0.22</v>
    <v>148063722666.42001</v>
    <v>88.81</v>
    <v>46178.000000034372</v>
    <v>2.0000000000000001E-4</v>
    <v>NYSE Arca</v>
    <v>0</v>
    <v>89.27</v>
    <v>89.52</v>
    <v>88.46</v>
    <v>69.53</v>
    <v>USD</v>
    <v>SS SPDR Ptf S&amp;P 500</v>
    <v>89.11</v>
    <v>88.89</v>
    <v>SPYM</v>
    <v>ETF</v>
    <v>SS SPDR Ptf S&amp;P 500 (ARCX:SPYM)</v>
    <v>8332265</v>
    <v>8748638</v>
  </rv>
  <rv s="2">
    <v>1</v>
  </rv>
  <rv s="0">
    <v>https://www.bing.com/financeapi/forcetrigger?t=a22m27&amp;q=ARCX%3aSCHD&amp;form=skydnc</v>
    <v>Learn more on Bing</v>
  </rv>
  <rv s="1">
    <v>es-ES</v>
    <v>a22m27</v>
    <v>268435456</v>
    <v>1</v>
    <v>Con tecnología de Refinitiv</v>
    <v>0</v>
    <v>1</v>
    <v>Schwab Str:US Div Eq ETF (ARCX:SCHD)</v>
    <v>3</v>
    <v>4</v>
    <v>Finance</v>
    <v>5</v>
    <v>ARCX</v>
    <v>32.61</v>
    <v>0.91010000000000002</v>
    <v>0.22</v>
    <v>6.1370000000000001E-4</v>
    <v>6.796E-3</v>
    <v>0.02</v>
    <v>94946207909.179993</v>
    <v>32.369999999999997</v>
    <v>46178.00000130781</v>
    <v>5.9999999999999995E-4</v>
    <v>NYSE Arca</v>
    <v>3</v>
    <v>32.788600000000002</v>
    <v>32.909999999999997</v>
    <v>32.49</v>
    <v>26.16</v>
    <v>USD</v>
    <v>Schwab Str:US Div Eq ETF</v>
    <v>32.590000000000003</v>
    <v>32.61</v>
    <v>SCHD</v>
    <v>ETF</v>
    <v>Schwab Str:US Div Eq ETF (ARCX:SCHD)</v>
    <v>18235093</v>
    <v>20124478</v>
  </rv>
  <rv s="2">
    <v>4</v>
  </rv>
  <rv s="0">
    <v>https://www.bing.com/financeapi/forcetrigger?t=a22mar&amp;q=ARCX%3aSCHG&amp;form=skydnc</v>
    <v>Learn more on Bing</v>
  </rv>
  <rv s="1">
    <v>es-ES</v>
    <v>a22mar</v>
    <v>268435456</v>
    <v>1</v>
    <v>Con tecnología de Refinitiv</v>
    <v>0</v>
    <v>1</v>
    <v>Schwab Str:US LC Gro ETF (ARCX:SCHG)</v>
    <v>3</v>
    <v>4</v>
    <v>Finance</v>
    <v>5</v>
    <v>ARCX</v>
    <v>34.54</v>
    <v>1.0081</v>
    <v>0.12</v>
    <v>-3.875E-3</v>
    <v>3.4610000000000001E-3</v>
    <v>-0.1348</v>
    <v>61082257061.330002</v>
    <v>34.67</v>
    <v>46178.00000157344</v>
    <v>4.0000000000000002E-4</v>
    <v>NYSE Arca</v>
    <v>6</v>
    <v>34.869999999999997</v>
    <v>35.42</v>
    <v>34.47</v>
    <v>27.684999999999999</v>
    <v>USD</v>
    <v>Schwab Str:US LC Gro ETF</v>
    <v>34.79</v>
    <v>34.655200000000001</v>
    <v>SCHG</v>
    <v>ETF</v>
    <v>Schwab Str:US LC Gro ETF (ARCX:SCHG)</v>
    <v>5329462</v>
    <v>12581053</v>
  </rv>
  <rv s="2">
    <v>7</v>
  </rv>
  <rv s="0">
    <v>https://www.bing.com/financeapi/forcetrigger?t=a23hqh&amp;q=ARCX%3aSPY&amp;form=skydnc</v>
    <v>Learn more on Bing</v>
  </rv>
  <rv s="1">
    <v>es-ES</v>
    <v>a23hqh</v>
    <v>268435456</v>
    <v>1</v>
    <v>Con tecnología de Refinitiv</v>
    <v>0</v>
    <v>1</v>
    <v>State Street SPDR S&amp;P500 (ARCX:SPY)</v>
    <v>3</v>
    <v>4</v>
    <v>Finance</v>
    <v>5</v>
    <v>ARCX</v>
    <v>752.1</v>
    <v>0.99709999999999999</v>
    <v>2.85</v>
    <v>-3.3419999999999999E-3</v>
    <v>3.7790000000000002E-3</v>
    <v>-2.5303</v>
    <v>783796407176.76001</v>
    <v>754.24</v>
    <v>46177.999996712497</v>
    <v>9.4499999999999998E-4</v>
    <v>NYSE Arca</v>
    <v>9</v>
    <v>758.31</v>
    <v>760.4</v>
    <v>751.47</v>
    <v>591.04999999999995</v>
    <v>USD</v>
    <v>State Street SPDR S&amp;P500</v>
    <v>757.09</v>
    <v>754.55970000000002</v>
    <v>SPY</v>
    <v>ETF</v>
    <v>State Street SPDR S&amp;P500 (ARCX:SPY)</v>
    <v>49923036</v>
    <v>45559704</v>
  </rv>
  <rv s="2">
    <v>10</v>
  </rv>
  <rv s="0">
    <v>https://www.bing.com/financeapi/forcetrigger?t=a21mim&amp;q=XNAS%3aQQQ&amp;form=skydnc</v>
    <v>Learn more on Bing</v>
  </rv>
  <rv s="1">
    <v>es-ES</v>
    <v>a21mim</v>
    <v>268435456</v>
    <v>1</v>
    <v>Con tecnología de Refinitiv</v>
    <v>0</v>
    <v>1</v>
    <v>Invesco QQQ Trust 1 (XNAS:QQQ)</v>
    <v>3</v>
    <v>4</v>
    <v>Finance</v>
    <v>5</v>
    <v>XNAS</v>
    <v>735.48</v>
    <v>1.0089999999999999</v>
    <v>-3.6</v>
    <v>-7.077E-3</v>
    <v>-4.8370000000000002E-3</v>
    <v>-5.2415000000000003</v>
    <v>493987523137.08002</v>
    <v>744.21</v>
    <v>46177.999997510939</v>
    <v>1.8E-3</v>
    <v>Nasdaq Stock Market</v>
    <v>12</v>
    <v>743.49879999999996</v>
    <v>748.65</v>
    <v>732.62</v>
    <v>522.66</v>
    <v>USD</v>
    <v>Invesco QQQ Trust 1</v>
    <v>740.61</v>
    <v>735.36850000000004</v>
    <v>QQQ</v>
    <v>ETF</v>
    <v>Invesco QQQ Trust 1 (XNAS:QQQ)</v>
    <v>40782580</v>
    <v>38562874</v>
  </rv>
  <rv s="2">
    <v>13</v>
  </rv>
  <rv s="0">
    <v>https://www.bing.com/financeapi/forcetrigger?t=a1oopr&amp;q=XNAS%3aBND&amp;form=skydnc</v>
    <v>Learn more on Bing</v>
  </rv>
  <rv s="1">
    <v>es-ES</v>
    <v>a1oopr</v>
    <v>268435456</v>
    <v>1</v>
    <v>Con tecnología de Refinitiv</v>
    <v>0</v>
    <v>1</v>
    <v>Vanguard Tot Bd;ETF (XNAS:BND)</v>
    <v>3</v>
    <v>4</v>
    <v>Finance</v>
    <v>5</v>
    <v>XNAS</v>
    <v>73.19</v>
    <v>0.97789999999999999</v>
    <v>0.1</v>
    <v>-8.2010000000000004E-4</v>
    <v>1.369E-3</v>
    <v>-0.06</v>
    <v>157234337871.98001</v>
    <v>73.06</v>
    <v>46177.995042071096</v>
    <v>2.9999999999999997E-4</v>
    <v>Nasdaq Stock Market</v>
    <v>15</v>
    <v>73.23</v>
    <v>75.23</v>
    <v>73.13</v>
    <v>72.19</v>
    <v>USD</v>
    <v>Vanguard Tot Bd;ETF</v>
    <v>73.16</v>
    <v>73.099999999999994</v>
    <v>BND</v>
    <v>ETF</v>
    <v>Vanguard Tot Bd;ETF (XNAS:BND)</v>
    <v>6815029</v>
    <v>8596709</v>
  </rv>
  <rv s="2">
    <v>16</v>
  </rv>
</rvData>
</file>

<file path=xl/richData/rdrichvaluestructure.xml><?xml version="1.0" encoding="utf-8"?>
<rvStructures xmlns="http://schemas.microsoft.com/office/spreadsheetml/2017/richdata" count="3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breviatura de intercambio" t="s"/>
    <k n="Apertura"/>
    <k n="Beta"/>
    <k n="Cambio"/>
    <k n="Cambio % (horario ampliado)"/>
    <k n="Cambio (%)"/>
    <k n="Cambio (horario ampliado)"/>
    <k n="Capitalización de mercado"/>
    <k n="Cierre anterior"/>
    <k n="Hora de la última operación"/>
    <k n="Índice de gastos"/>
    <k n="Intercambio" t="s"/>
    <k n="LearnMoreOnLink" t="r"/>
    <k n="Máximo"/>
    <k n="Máximo en 52 semanas"/>
    <k n="Mínimo"/>
    <k n="Mínimo en 52 semanas"/>
    <k n="Moneda" t="s"/>
    <k n="Nombre" t="s"/>
    <k n="Precio"/>
    <k n="Precio (horario ampliado)"/>
    <k n="Símbolo bursátil" t="s"/>
    <k n="Tipo de instrumento" t="s"/>
    <k n="UniqueName" t="s"/>
    <k n="Volumen"/>
    <k n="Volumen promedio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3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_SubLabel</v>
      <v t="s">Precio</v>
      <v t="s">Precio (horario ampliado)</v>
      <v t="s">Intercambio</v>
      <v t="s">Hora de la última operación</v>
      <v t="s">Símbolo bursátil</v>
      <v t="s">Abreviatura de intercambio</v>
      <v t="s">Cambio</v>
      <v t="s">Cambio (horario ampliado)</v>
      <v t="s">Índice de gastos</v>
      <v t="s">Cambio (%)</v>
      <v t="s">Cambio % (horario ampliado)</v>
      <v t="s">Moneda</v>
      <v t="s">Cierre anterior</v>
      <v t="s">Apertura</v>
      <v t="s">Máximo</v>
      <v t="s">Mínimo</v>
      <v t="s">Máximo en 52 semanas</v>
      <v t="s">Mínimo en 52 semanas</v>
      <v t="s">Volumen</v>
      <v t="s">Volumen promedio</v>
      <v t="s">Capitalización de mercado</v>
      <v t="s">Beta</v>
      <v t="s">Tipo de instrumento</v>
      <v t="s">_Flags</v>
      <v t="s">UniqueName</v>
      <v t="s">_DisplayString</v>
      <v t="s">LearnMoreOnLink</v>
      <v t="s">%ProviderInfo</v>
    </a>
  </spbArrays>
  <spbData count="6">
    <spb s="0">
      <v>Beta</v>
      <v>Change</v>
      <v>Currency</v>
      <v>High</v>
      <v>Low</v>
      <v>Name</v>
      <v>Price</v>
      <v>Volume</v>
      <v>Open</v>
      <v>Change (%)</v>
      <v>UniqueName</v>
      <v>Exchange</v>
      <v>%ProviderInfo</v>
      <v>Previous close</v>
      <v>LearnMoreOnLink</v>
      <v>Ticker symbol</v>
      <v>Volume average</v>
      <v>Expense ratio</v>
      <v>Instrument type</v>
      <v>52 week high</v>
      <v>52 week low</v>
      <v>Change (Extended hours)</v>
      <v>Market cap</v>
      <v>Price (Extended hours)</v>
      <v>Exchange abbreviation</v>
      <v>Change % (Extended hours)</v>
      <v>Last trade time</v>
    </spb>
    <spb s="1">
      <v>0</v>
      <v>Name</v>
      <v>LearnMoreOnLink</v>
    </spb>
    <spb s="2">
      <v>0</v>
      <v>0</v>
      <v>0</v>
    </spb>
    <spb s="3">
      <v>2</v>
      <v>2</v>
      <v>2</v>
    </spb>
    <spb s="4">
      <v>1</v>
      <v>2</v>
      <v>2</v>
      <v>2</v>
      <v>3</v>
      <v>2</v>
      <v>4</v>
      <v>2</v>
      <v>5</v>
      <v>2</v>
      <v>4</v>
      <v>6</v>
      <v>5</v>
      <v>2</v>
      <v>2</v>
      <v>2</v>
      <v>7</v>
      <v>2</v>
      <v>5</v>
      <v>8</v>
    </spb>
    <spb s="5">
      <v xml:space="preserve">desde el cierre anterior </v>
      <v xml:space="preserve">al cierre </v>
      <v xml:space="preserve">desde el cierre anterior </v>
      <v>Origen: Nasdaq</v>
      <v xml:space="preserve">desde el cierre </v>
      <v>Retrasado 15 minutos</v>
      <v xml:space="preserve">desde el cierre </v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Beta" t="s"/>
    <k n="Cambio" t="s"/>
    <k n="Moneda" t="s"/>
    <k n="Máximo" t="s"/>
    <k n="Mínimo" t="s"/>
    <k n="Nombre" t="s"/>
    <k n="Precio" t="s"/>
    <k n="Volumen" t="s"/>
    <k n="Apertura" t="s"/>
    <k n="Cambio (%)" t="s"/>
    <k n="UniqueName" t="s"/>
    <k n="Intercambio" t="s"/>
    <k n="%ProviderInfo" t="s"/>
    <k n="Cierre anterior" t="s"/>
    <k n="LearnMoreOnLink" t="s"/>
    <k n="Símbolo bursátil" t="s"/>
    <k n="Volumen promedio" t="s"/>
    <k n="Índice de gastos" t="s"/>
    <k n="Tipo de instrumento" t="s"/>
    <k n="Máximo en 52 semanas" t="s"/>
    <k n="Mínimo en 52 semanas" t="s"/>
    <k n="Cambio (horario ampliado)" t="s"/>
    <k n="Capitalización de mercado" t="s"/>
    <k n="Precio (horario ampliado)" t="s"/>
    <k n="Abreviatura de intercambio" t="s"/>
    <k n="Cambio % (horario ampliado)" t="s"/>
    <k n="Hora de la última operación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Beta" t="i"/>
    <k n="Cambio" t="i"/>
    <k n="Máximo" t="i"/>
    <k n="Mínimo" t="i"/>
    <k n="Nombre" t="i"/>
    <k n="Precio" t="i"/>
    <k n="Volumen" t="i"/>
    <k n="Apertura" t="i"/>
    <k n="Cambio (%)" t="i"/>
    <k n="Cierre anterior" t="i"/>
    <k n="Volumen promedio" t="i"/>
    <k n="`%EntityServiceId" t="i"/>
    <k n="`Índice de gastos" t="i"/>
    <k n="Máximo en 52 semanas" t="i"/>
    <k n="Mínimo en 52 semanas" t="i"/>
    <k n="Cambio (horario ampliado)" t="i"/>
    <k n="Capitalización de mercado" t="i"/>
    <k n="Precio (horario ampliado)" t="i"/>
    <k n="Cambio % (horario ampliado)" t="i"/>
    <k n="Hora de la última operación" t="i"/>
  </s>
  <s>
    <k n="Cambio" t="s"/>
    <k n="Precio" t="s"/>
    <k n="Cambio (%)" t="s"/>
    <k n="Intercambio" t="s"/>
    <k n="Cambio (horario ampliado)" t="s"/>
    <k n="Precio (horario ampliado)" t="s"/>
    <k n="Cambio % (horario ampliado)" t="s"/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4" formatCode="#,##0.00"/>
    </x:dxf>
    <x:dxf>
      <x:numFmt numFmtId="0" formatCode="General"/>
    </x:dxf>
    <x:dxf>
      <x:numFmt numFmtId="3" formatCode="#,##0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#,##0.00</rpv>
    </rSty>
    <rSty dxfid="1">
      <rpv i="0">_([$$-en-US]* #,##0.00_);_([$$-en-US]* (#,##0.00);_([$$-en-US]* "-"??_);_(@_)</rpv>
    </rSty>
    <rSty>
      <rpv i="1">1</rpv>
    </rSty>
    <rSty dxfid="2">
      <rpv i="0">#,##0</rpv>
    </rSty>
    <rSty dxfid="3"/>
    <rSty dxfid="4">
      <rpv i="0">0.00</rpv>
    </rSty>
    <rSty dxfid="1">
      <rpv i="0">_([$$-en-US]* #,##0_);_([$$-en-US]* (#,##0);_([$$-en-US]* "-"_);_(@_)</rpv>
    </rSty>
    <rSty dxfid="5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7933B-66FC-47EC-846A-B80B8FC3E63A}" name="tblPortafolio" displayName="tblPortafolio" ref="A5:L9" totalsRowCount="1" headerRowDxfId="120" dataDxfId="119" totalsRowDxfId="118">
  <autoFilter ref="A5:L8" xr:uid="{5D27E3B9-D0E7-4845-9871-BF79528A9C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C80BA1E-BFF1-49AF-853F-CF70A988F882}" name="Acción" totalsRowLabel="Total" dataDxfId="117" totalsRowDxfId="116"/>
    <tableColumn id="2" xr3:uid="{D7A170DE-9CFD-40D9-8862-C43A00F29406}" name="Precio medio compra" dataDxfId="115" totalsRowDxfId="114">
      <calculatedColumnFormula array="1">SUM((Tbla_Registros[Ticker]=A6)*(Tbla_Registros[Cantidad])*(Tbla_Registros[Precio])) / SUMIF(Tbla_Registros[Ticker], A6, Tbla_Registros[Cantidad])</calculatedColumnFormula>
    </tableColumn>
    <tableColumn id="3" xr3:uid="{D6F04728-2375-4335-B2C9-D38A15830EFF}" name="Precio actual" dataDxfId="113" totalsRowDxfId="112">
      <calculatedColumnFormula array="1">#REF!</calculatedColumnFormula>
    </tableColumn>
    <tableColumn id="4" xr3:uid="{5DF17B62-3EB4-4A30-AE7C-6E5DD7B24E3F}" name="Cantidad" dataDxfId="111" totalsRowDxfId="110">
      <calculatedColumnFormula>SUMIF(Tbla_Registros[Ticker], A6, Tbla_Registros[Cantidad])</calculatedColumnFormula>
    </tableColumn>
    <tableColumn id="5" xr3:uid="{97C0462A-EF0C-42F6-B62C-22281AE5CC8A}" name="Valor mercado" totalsRowFunction="custom" dataDxfId="109" totalsRowDxfId="108">
      <calculatedColumnFormula>C6*D6</calculatedColumnFormula>
      <totalsRowFormula>SUM(E6:E8)</totalsRowFormula>
    </tableColumn>
    <tableColumn id="6" xr3:uid="{9DAF2CB3-F7EB-4018-9A60-111C15026203}" name="Invertido" totalsRowFunction="sum" dataDxfId="107" totalsRowDxfId="106">
      <calculatedColumnFormula>B6 * SUMIF(Tbla_Registros[Ticker], A6, Tbla_Registros[Cantidad])</calculatedColumnFormula>
    </tableColumn>
    <tableColumn id="7" xr3:uid="{70B075DF-E472-40CD-A308-CF2B6D386475}" name="Ganancia total" totalsRowFunction="custom" dataDxfId="105" totalsRowDxfId="104">
      <calculatedColumnFormula>E6-F6</calculatedColumnFormula>
      <totalsRowFormula>SUM(G6:G8)</totalsRowFormula>
    </tableColumn>
    <tableColumn id="9" xr3:uid="{8976B404-4EA8-4786-8C2C-C2D6D4252C7F}" name="Rendimiento %" totalsRowFunction="custom" dataDxfId="103" totalsRowDxfId="102">
      <calculatedColumnFormula>G6/F6</calculatedColumnFormula>
      <totalsRowFormula>G9/F9</totalsRowFormula>
    </tableColumn>
    <tableColumn id="8" xr3:uid="{72EEE5E3-BB13-413C-A42D-2886F342BF53}" name="Peso Objetivo" totalsRowFunction="custom" dataDxfId="101" totalsRowDxfId="100">
      <totalsRowFormula>I6+I7+I8</totalsRowFormula>
    </tableColumn>
    <tableColumn id="10" xr3:uid="{2855E486-A7C0-4BBA-8133-B727B6848EE7}" name="Peso actual" dataDxfId="99" totalsRowDxfId="98">
      <calculatedColumnFormula>E6/SUM($E$6:$E$8)</calculatedColumnFormula>
    </tableColumn>
    <tableColumn id="11" xr3:uid="{D5F70963-5C11-4B0F-8AAA-5788D6054B6B}" name="Desviación" dataDxfId="97" totalsRowDxfId="96">
      <calculatedColumnFormula>J6-I6</calculatedColumnFormula>
    </tableColumn>
    <tableColumn id="12" xr3:uid="{87E5F9AD-3FBC-4D76-B45B-7E1E7CAA9F48}" name="Cambio (%)" dataDxfId="95" totalsRowDxfId="94">
      <calculatedColumnFormula array="1">_FV(tblPortafolio[[#This Row],[Acción]],"Cambio (%)",TRUE)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AA3E9E-2BB8-4490-8CB5-E8C17C16B77C}" name="tblRebalanceo" displayName="tblRebalanceo" ref="D4:I7" totalsRowShown="0" headerRowDxfId="93" dataDxfId="91" headerRowBorderDxfId="92" tableBorderDxfId="90" totalsRowBorderDxfId="89">
  <autoFilter ref="D4:I7" xr:uid="{56E0B3E2-9537-4977-BAC5-BAAF618A26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F4C99C-B6F4-40EB-BD4D-C657E7471F7F}" name="Acción" dataDxfId="88"/>
    <tableColumn id="2" xr3:uid="{36E873FB-CFD3-4742-A6DC-201D10C06EF5}" name="Monto Ideal" dataDxfId="87"/>
    <tableColumn id="3" xr3:uid="{77013D9C-C86C-470A-9E11-F54DF9087D05}" name="Monto Actual" dataDxfId="86">
      <calculatedColumnFormula>_xlfn.XLOOKUP($D5,Portafolio!$A$6:$A$8,Portafolio!$E$6:$E$8)</calculatedColumnFormula>
    </tableColumn>
    <tableColumn id="4" xr3:uid="{B4CB66ED-38AB-4070-B891-B453E2CD3DF9}" name="Déficit" dataDxfId="85">
      <calculatedColumnFormula>E5-F5</calculatedColumnFormula>
    </tableColumn>
    <tableColumn id="5" xr3:uid="{3D0B1A5D-8E5B-4F0A-91C7-68D90E083A90}" name="Asignación" dataDxfId="84">
      <calculatedColumnFormula>MAX(0, _xlfn.XLOOKUP($D5,Portafolio!$A$6:$A$8,Portafolio!$I$6:$I$8) * (SUM(Portafolio!$E$6:$E$8) + $B$15) - _xlfn.XLOOKUP($D5,Portafolio!$A$6:$A$8,Portafolio!$E$6:$E$8))</calculatedColumnFormula>
    </tableColumn>
    <tableColumn id="6" xr3:uid="{8245825C-7642-4554-B70D-0AB496D67AFD}" name="Unidades a Comprar" dataDxfId="83">
      <calculatedColumnFormula>IF($H5&gt;0, $H5 / _xlfn.XLOOKUP($D5,Portafolio!$A$6:$A$8,Portafolio!$C$6:$C$8), 0)</calculatedColumnFormula>
    </tableColumn>
  </tableColumns>
  <tableStyleInfo name="TableStyleDark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11F60-D621-4DD2-85BC-FEA276D3F617}" name="tblIndicadores" displayName="tblIndicadores" ref="A4:B12" totalsRowShown="0" headerRowDxfId="82" dataDxfId="80" headerRowBorderDxfId="81" tableBorderDxfId="79" totalsRowBorderDxfId="78">
  <autoFilter ref="A4:B12" xr:uid="{0F86BF08-D1B1-4C68-BF1E-A60CC119DE34}">
    <filterColumn colId="0" hiddenButton="1"/>
    <filterColumn colId="1" hiddenButton="1"/>
  </autoFilter>
  <tableColumns count="2">
    <tableColumn id="1" xr3:uid="{338F550D-1EF5-47C1-861A-980425ADA31D}" name="Indicador" dataDxfId="77"/>
    <tableColumn id="2" xr3:uid="{BD43E761-A61C-49F5-A9D3-DC890A0CFBE4}" name="Datos" dataDxfId="76"/>
  </tableColumns>
  <tableStyleInfo name="TableStyleDark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5A9063-B5F7-44F0-A25C-92447FDD3C56}" name="tblDistribucion" displayName="tblDistribucion" ref="D13:F16" totalsRowShown="0" headerRowDxfId="75" dataDxfId="73" headerRowBorderDxfId="74" tableBorderDxfId="72" totalsRowBorderDxfId="71">
  <autoFilter ref="D13:F16" xr:uid="{5E8F0D00-38FD-4EFE-96AC-86DF1096E9F9}">
    <filterColumn colId="0" hiddenButton="1"/>
    <filterColumn colId="1" hiddenButton="1"/>
    <filterColumn colId="2" hiddenButton="1"/>
  </autoFilter>
  <tableColumns count="3">
    <tableColumn id="1" xr3:uid="{8B3D3E55-1D5C-4758-BF32-3CADA8AE608E}" name="Activo" dataDxfId="70"/>
    <tableColumn id="2" xr3:uid="{D0EF9481-77EE-4D4A-B88F-EFF04CCD8E72}" name="Peso Actual" dataDxfId="69">
      <calculatedColumnFormula>Portafolio!J6</calculatedColumnFormula>
    </tableColumn>
    <tableColumn id="3" xr3:uid="{B4EAD3EB-22B5-406C-A7DF-F07227EEBE57}" name="Peso Objetivo" dataDxfId="68">
      <calculatedColumnFormula>Portafolio!I6</calculatedColumnFormula>
    </tableColumn>
  </tableColumns>
  <tableStyleInfo name="TableStyleDark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3193DC-170B-4674-B2BB-95A68D42C561}" name="tbl_RendimientoSpvsPor" displayName="tbl_RendimientoSpvsPor" ref="A18:B21" totalsRowShown="0" headerRowDxfId="67" dataDxfId="65" headerRowBorderDxfId="66" tableBorderDxfId="64" totalsRowBorderDxfId="63">
  <autoFilter ref="A18:B21" xr:uid="{503193DC-170B-4674-B2BB-95A68D42C561}">
    <filterColumn colId="0" hiddenButton="1"/>
    <filterColumn colId="1" hiddenButton="1"/>
  </autoFilter>
  <tableColumns count="2">
    <tableColumn id="1" xr3:uid="{917DEE73-CC1C-4C23-8952-BF0AA0E4C01E}" name="Rendimiento del S&amp;P 500 YTD" dataDxfId="62"/>
    <tableColumn id="2" xr3:uid="{5A133334-FF99-419E-A64F-D4ACBCD008BC}" name="YTD%" dataDxfId="61">
      <calculatedColumnFormula>B7</calculatedColumnFormula>
    </tableColumn>
  </tableColumns>
  <tableStyleInfo name="TableStyleDark1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F08474-E815-4BF2-9514-A556A8E16C74}" name="Tbla_Registros" displayName="Tbla_Registros" ref="A5:M26" headerRowDxfId="136" dataDxfId="135" totalsRowDxfId="134">
  <autoFilter ref="A5:M26" xr:uid="{5A600F4C-A585-4FB8-8FD1-377FF85909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6BC5BE0-EE8B-4159-9CF7-C9D8470B5A47}" name="ID" totalsRowLabel="Total" dataDxfId="133">
      <calculatedColumnFormula>ROW()-ROW($A$6)+1</calculatedColumnFormula>
    </tableColumn>
    <tableColumn id="2" xr3:uid="{48FAC4F5-20EF-41A9-9758-30C06A60367A}" name="Fecha" dataDxfId="132"/>
    <tableColumn id="3" xr3:uid="{3136966D-13A1-4493-A115-0AD5F959F9BC}" name="Ticker" dataDxfId="131"/>
    <tableColumn id="4" xr3:uid="{DF108ECC-79DB-43D5-85EE-502084D6B886}" name="Activo" dataDxfId="130">
      <calculatedColumnFormula>IF(Tbla_Registros[[#This Row],[Ticker]]="","",_xlfn.XLOOKUP(Tbla_Registros[[#This Row],[Ticker]],$P$14:$P$19,$Q$14:$Q$19,Tbla_Registros[[#This Row],[Ticker]]))</calculatedColumnFormula>
    </tableColumn>
    <tableColumn id="5" xr3:uid="{C441A3C4-7171-4624-A0DF-F33B08C39C8C}" name="Tipo" dataDxfId="129"/>
    <tableColumn id="6" xr3:uid="{76801E6B-FCEE-4BAF-8227-2C7270070F4C}" name="Cantidad" dataDxfId="128"/>
    <tableColumn id="7" xr3:uid="{D83C395D-5343-4793-821E-F871B99B0700}" name="Precio" dataDxfId="127"/>
    <tableColumn id="8" xr3:uid="{6E6691E6-60E3-40E5-988B-1AC80D718E7E}" name="Comisión" dataDxfId="126"/>
    <tableColumn id="9" xr3:uid="{EA147616-C287-47A1-88DC-C30488E8224D}" name="Total" dataDxfId="125">
      <calculatedColumnFormula>Tbla_Registros[[#This Row],[Cantidad]] * Tbla_Registros[[#This Row],[Precio]] + Tbla_Registros[[#This Row],[Comisión]]</calculatedColumnFormula>
    </tableColumn>
    <tableColumn id="12" xr3:uid="{5399DEE0-F9AE-48E0-BC99-D87439B7FF53}" name="Rendimiento %" dataDxfId="124">
      <calculatedColumnFormula>IF(C6="","",IFERROR((VLOOKUP(C6,Portafolio!$A$6:$C$8,3,FALSE)-G6)/G6,""))</calculatedColumnFormula>
    </tableColumn>
    <tableColumn id="11" xr3:uid="{C3B2BB25-A544-46CB-8B11-FC877A0E8785}" name="Días" dataDxfId="123">
      <calculatedColumnFormula>IF(B6="","",TODAY()-B6)</calculatedColumnFormula>
    </tableColumn>
    <tableColumn id="13" xr3:uid="{87104EA6-61C5-4677-8A11-05202F92755D}" name="Ganancia" dataDxfId="122">
      <calculatedColumnFormula>IFERROR((VLOOKUP(C6,Portafolio!$A$6:$C$8,3,FALSE)-G6)*F6,"")</calculatedColumnFormula>
    </tableColumn>
    <tableColumn id="10" xr3:uid="{0CE95ADF-71A4-4BA5-BE1B-3ED43EA6499C}" name="App" totalsRowFunction="count" dataDxfId="121"/>
  </tableColumns>
  <tableStyleInfo name="TableStyleDark1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DB8783-9A28-49CF-AF84-CE6768F28749}" name="Tabla14" displayName="Tabla14" ref="A5:B8" totalsRowShown="0" headerRowDxfId="60" dataDxfId="59" tableBorderDxfId="58">
  <autoFilter ref="A5:B8" xr:uid="{43F384DC-C527-4A2A-B4CE-6431FC6BA120}">
    <filterColumn colId="0" hiddenButton="1"/>
    <filterColumn colId="1" hiddenButton="1"/>
  </autoFilter>
  <tableColumns count="2">
    <tableColumn id="1" xr3:uid="{BC633B9A-CB98-459D-A690-D3589CE0921D}" name="ETF" dataDxfId="57"/>
    <tableColumn id="2" xr3:uid="{053851B5-79A2-4015-88E6-7F20CE3ED5D4}" name="Peso actual" dataDxfId="56">
      <calculatedColumnFormula>Portafolio!J6</calculatedColumnFormula>
    </tableColumn>
  </tableColumns>
  <tableStyleInfo name="TableStyleDark1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044D2E-13F2-4227-BF01-E1B7074430B7}" name="Tablaholdings" displayName="Tablaholdings" ref="A11:F810" totalsRowShown="0" headerRowDxfId="55" dataDxfId="54">
  <autoFilter ref="A11:F810" xr:uid="{83175957-32F8-421D-A982-8A7B4E4A92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12:F810">
    <sortCondition ref="A11:A810"/>
  </sortState>
  <tableColumns count="6">
    <tableColumn id="1" xr3:uid="{48102839-1E96-4B86-A48D-82F2FF5B82B2}" name="Ticker" dataDxfId="53"/>
    <tableColumn id="2" xr3:uid="{DB415CE8-D6D2-4A73-9C45-4396C23E1C5D}" name="Nombre Empresa" dataDxfId="52"/>
    <tableColumn id="3" xr3:uid="{5D7368A3-D08B-4E39-91BF-4B05B3C19050}" name="Peso Interno ETF" dataDxfId="51"/>
    <tableColumn id="4" xr3:uid="{960518A9-221B-496F-BA67-91C4D7D36684}" name="Peso Actual en ETF" dataDxfId="50">
      <calculatedColumnFormula>C12/100</calculatedColumnFormula>
    </tableColumn>
    <tableColumn id="5" xr3:uid="{0374422B-E67F-4AD2-ACE6-A9693A631B42}" name="Peso Real en Portafolio" dataDxfId="49">
      <calculatedColumnFormula>C12 * VLOOKUP(F12, $A$6:$B$8, 2, FALSE)</calculatedColumnFormula>
    </tableColumn>
    <tableColumn id="6" xr3:uid="{EC922F62-4C3E-46D6-8374-563D5E0FCD46}" name="ETF" dataDxfId="48"/>
  </tableColumns>
  <tableStyleInfo name="TableStyleDark1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83C062-A51E-4837-ACB7-F44F0C078609}" name="Tabla16" displayName="Tabla16" ref="J11:K641" totalsRowShown="0" headerRowDxfId="47" dataDxfId="46">
  <autoFilter ref="J11:K641" xr:uid="{821A57E0-392D-488F-BBD8-323C990E5A9D}">
    <filterColumn colId="0" hiddenButton="1"/>
    <filterColumn colId="1" hiddenButton="1"/>
  </autoFilter>
  <sortState xmlns:xlrd2="http://schemas.microsoft.com/office/spreadsheetml/2017/richdata2" ref="J12:K641">
    <sortCondition descending="1" ref="K12:K641"/>
  </sortState>
  <tableColumns count="2">
    <tableColumn id="1" xr3:uid="{AA2726AD-8002-448C-9EBB-2983CBDED20E}" name="Ticker" dataDxfId="45">
      <calculatedColumnFormula array="1">IFERROR(INDEX(_xlfn.ANCHORARRAY($S$12),ROW()-12+1),"")</calculatedColumnFormula>
    </tableColumn>
    <tableColumn id="2" xr3:uid="{FB91C3D1-2D55-4E47-AEEE-F2370A8793A6}" name="Peso Total" dataDxfId="44">
      <calculatedColumnFormula>IF(Tabla16[[#This Row],[Ticker]]="",0,SUMIF(Tablaholdings[Ticker],Tabla16[[#This Row],[Ticker]],Tablaholdings[Peso Real en Portafolio])/100)</calculatedColumnFormula>
    </tableColumn>
  </tableColumns>
  <tableStyleInfo name="TableStyleDark1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350" row="7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E6982461-B3FE-456A-8747-52828E8FEFA8}">
  <we:reference id="wa200005502" version="1.0.0.13" store="es-MX" storeType="OMEX"/>
  <we:alternateReferences>
    <we:reference id="wa200005502" version="1.0.0.13" store="wa200005502" storeType="OMEX"/>
  </we:alternateReferences>
  <we:properties>
    <we:property name="docId" value="&quot;e7M6qMn2TwOCJh3RYZE2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15FE3AF-8567-4014-BDAC-2025D3406AAA}">
  <we:reference id="wa200006575" version="1.0.0.8" store="es-MX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8E8347E-B83C-44C3-9D44-3B8033B0352B}">
  <we:reference id="wa200006009" version="2.1.3.10" store="es-MX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AF1BDA13-1309-4CF1-9680-14A5DCEE0BA1}">
  <we:reference id="wa104379220" version="8.0.0.0" store="es-MX" storeType="OMEX"/>
  <we:alternateReferences>
    <we:reference id="WA104379220" version="8.0.0.0" store="WA104379220" storeType="OMEX"/>
  </we:alternateReferences>
  <we:properties>
    <we:property name="lastCryptoCompare" value="0"/>
    <we:property name="lastIexCall" value="1779317207671"/>
    <we:property name="lastMutualFundsCall" value="0"/>
    <we:property name="stocks" value="{&quot;__GSPC&quot;:[&quot;__GSPC&quot;,7431.795397438148,0.010258082687261805,1779307197438],&quot;SPYM&quot;:[&quot;SPYM&quot;,87.255,0.01048060220034741,1779307195459]}"/>
    <we:property name="stocksChange" value="{}"/>
    <we:property name="stocksOrder" value="[&quot;__GSPC&quot;,&quot;SPYM&quot;]"/>
    <we:property name="stocksSources" value="{&quot;__GSPC&quot;:0,&quot;SPYM&quot;:0}"/>
    <we:property name="updateIntervalIndex" value="6"/>
  </we:properties>
  <we:bindings>
    <we:binding id="__GSPC" type="text" appref="{96C890BB-43D6-42E7-AEC6-F22262C816B0}"/>
    <we:binding id="SPYM" type="text" appref="{4C8C41DC-2D12-42C1-8B70-1AC397353E7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8C5D-1D98-4768-B605-12231565E10A}">
  <dimension ref="A1:N45"/>
  <sheetViews>
    <sheetView showGridLines="0" zoomScaleNormal="100" workbookViewId="0">
      <selection activeCell="C16" sqref="C16"/>
    </sheetView>
  </sheetViews>
  <sheetFormatPr baseColWidth="10" defaultColWidth="10.7265625" defaultRowHeight="14.5" x14ac:dyDescent="0.35"/>
  <cols>
    <col min="1" max="1" width="3.81640625" customWidth="1"/>
    <col min="2" max="4" width="38.1796875" customWidth="1"/>
    <col min="5" max="5" width="3.81640625" customWidth="1"/>
    <col min="6" max="6" width="34.26953125" customWidth="1"/>
    <col min="7" max="7" width="26.7265625" customWidth="1"/>
  </cols>
  <sheetData>
    <row r="1" spans="1:14" ht="50.15" customHeight="1" x14ac:dyDescent="0.85">
      <c r="A1" s="71"/>
      <c r="B1" s="282" t="s">
        <v>0</v>
      </c>
      <c r="C1" s="283"/>
      <c r="D1" s="283"/>
      <c r="E1" s="71"/>
      <c r="F1" s="71"/>
      <c r="G1" s="71"/>
      <c r="H1" s="71"/>
      <c r="I1" s="71"/>
      <c r="J1" s="71"/>
      <c r="K1" s="71"/>
      <c r="L1" s="71"/>
      <c r="M1" s="71"/>
    </row>
    <row r="2" spans="1:14" ht="22" customHeight="1" x14ac:dyDescent="0.45">
      <c r="A2" s="71"/>
      <c r="B2" s="284" t="s">
        <v>1</v>
      </c>
      <c r="C2" s="285"/>
      <c r="D2" s="285"/>
      <c r="E2" s="71"/>
      <c r="F2" s="71"/>
      <c r="G2" s="71"/>
      <c r="H2" s="71"/>
      <c r="I2" s="71"/>
      <c r="J2" s="71"/>
      <c r="K2" s="71"/>
      <c r="L2" s="71"/>
      <c r="M2" s="71"/>
    </row>
    <row r="3" spans="1:14" ht="17" thickBot="1" x14ac:dyDescent="0.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1:14" ht="20" x14ac:dyDescent="0.55000000000000004">
      <c r="A4" s="71"/>
      <c r="B4" s="265" t="s">
        <v>2</v>
      </c>
      <c r="C4" s="72"/>
      <c r="D4" s="73"/>
      <c r="E4" s="71"/>
      <c r="F4" s="266" t="s">
        <v>3</v>
      </c>
      <c r="G4" s="73"/>
      <c r="H4" s="71"/>
      <c r="I4" s="71"/>
      <c r="J4" s="71"/>
      <c r="K4" s="71"/>
      <c r="L4" s="71"/>
      <c r="M4" s="71"/>
      <c r="N4" t="s">
        <v>4</v>
      </c>
    </row>
    <row r="5" spans="1:14" ht="16.5" x14ac:dyDescent="0.45">
      <c r="A5" s="71"/>
      <c r="B5" s="74"/>
      <c r="C5" s="71"/>
      <c r="D5" s="75"/>
      <c r="E5" s="71"/>
      <c r="F5" s="264"/>
      <c r="G5" s="75"/>
      <c r="H5" s="71"/>
      <c r="I5" s="71"/>
      <c r="J5" s="71"/>
      <c r="K5" s="71"/>
      <c r="L5" s="71"/>
      <c r="M5" s="71"/>
    </row>
    <row r="6" spans="1:14" ht="26.15" customHeight="1" x14ac:dyDescent="0.45">
      <c r="A6" s="71"/>
      <c r="B6" s="74"/>
      <c r="C6" s="71"/>
      <c r="D6" s="75"/>
      <c r="E6" s="71"/>
      <c r="F6" s="267"/>
      <c r="G6" s="268"/>
      <c r="H6" s="71"/>
      <c r="I6" s="71"/>
      <c r="J6" s="71"/>
      <c r="K6" s="71"/>
      <c r="L6" s="71"/>
      <c r="M6" s="71"/>
    </row>
    <row r="7" spans="1:14" ht="26.15" customHeight="1" x14ac:dyDescent="0.45">
      <c r="A7" s="71"/>
      <c r="B7" s="74"/>
      <c r="C7" s="71"/>
      <c r="D7" s="75"/>
      <c r="E7" s="71"/>
      <c r="F7" s="267"/>
      <c r="G7" s="269"/>
      <c r="H7" s="71"/>
      <c r="I7" s="71"/>
      <c r="J7" s="71"/>
      <c r="K7" s="71"/>
      <c r="L7" s="71"/>
      <c r="M7" s="71"/>
    </row>
    <row r="8" spans="1:14" ht="26.15" customHeight="1" x14ac:dyDescent="0.45">
      <c r="A8" s="71"/>
      <c r="B8" s="74"/>
      <c r="C8" s="71"/>
      <c r="D8" s="75"/>
      <c r="E8" s="71"/>
      <c r="F8" s="267"/>
      <c r="G8" s="269"/>
      <c r="H8" s="71"/>
      <c r="I8" s="71"/>
      <c r="J8" s="71"/>
      <c r="K8" s="71"/>
      <c r="L8" s="71"/>
      <c r="M8" s="71"/>
    </row>
    <row r="9" spans="1:14" ht="26.15" customHeight="1" x14ac:dyDescent="0.45">
      <c r="A9" s="71"/>
      <c r="B9" s="76"/>
      <c r="C9" s="276"/>
      <c r="D9" s="77"/>
      <c r="E9" s="71"/>
      <c r="F9" s="267"/>
      <c r="G9" s="269"/>
      <c r="H9" s="71"/>
      <c r="I9" s="71"/>
      <c r="J9" s="71"/>
      <c r="K9" s="71"/>
      <c r="L9" s="71"/>
      <c r="M9" s="71"/>
    </row>
    <row r="10" spans="1:14" ht="26.15" customHeight="1" x14ac:dyDescent="0.45">
      <c r="A10" s="71"/>
      <c r="B10" s="74"/>
      <c r="C10" s="71"/>
      <c r="D10" s="75"/>
      <c r="E10" s="71"/>
      <c r="F10" s="267"/>
      <c r="G10" s="270"/>
      <c r="H10" s="71"/>
      <c r="I10" s="71"/>
      <c r="J10" s="71"/>
      <c r="K10" s="71"/>
      <c r="L10" s="71"/>
      <c r="M10" s="71"/>
    </row>
    <row r="11" spans="1:14" ht="26.15" customHeight="1" thickBot="1" x14ac:dyDescent="0.5">
      <c r="A11" s="71"/>
      <c r="B11" s="78"/>
      <c r="C11" s="79"/>
      <c r="D11" s="80"/>
      <c r="E11" s="71"/>
      <c r="F11" s="271"/>
      <c r="G11" s="272"/>
      <c r="H11" s="71"/>
      <c r="I11" s="71"/>
      <c r="J11" s="71"/>
      <c r="K11" s="71"/>
      <c r="L11" s="71"/>
      <c r="M11" s="71"/>
    </row>
    <row r="12" spans="1:14" ht="17" thickBot="1" x14ac:dyDescent="0.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</row>
    <row r="13" spans="1:14" ht="20" x14ac:dyDescent="0.55000000000000004">
      <c r="A13" s="71"/>
      <c r="B13" s="265" t="s">
        <v>5</v>
      </c>
      <c r="C13" s="73"/>
      <c r="D13" s="71"/>
      <c r="E13" s="71"/>
      <c r="F13" s="265"/>
      <c r="G13" s="73"/>
      <c r="H13" s="71"/>
      <c r="I13" s="71"/>
      <c r="J13" s="71"/>
      <c r="K13" s="71"/>
      <c r="L13" s="71"/>
      <c r="M13" s="71"/>
      <c r="N13" t="s">
        <v>6</v>
      </c>
    </row>
    <row r="14" spans="1:14" ht="26.15" customHeight="1" x14ac:dyDescent="0.45">
      <c r="A14" s="71"/>
      <c r="B14" s="267" t="s">
        <v>7</v>
      </c>
      <c r="C14" s="81">
        <f ca="1">Portafolio!E9</f>
        <v>555.31734004863006</v>
      </c>
      <c r="D14" s="71"/>
      <c r="E14" s="71"/>
      <c r="F14" s="273"/>
      <c r="G14" s="82"/>
      <c r="H14" s="71"/>
      <c r="I14" s="71"/>
      <c r="J14" s="71"/>
      <c r="K14" s="71"/>
      <c r="L14" s="71"/>
      <c r="M14" s="71"/>
      <c r="N14" t="s">
        <v>8</v>
      </c>
    </row>
    <row r="15" spans="1:14" ht="26.15" customHeight="1" thickBot="1" x14ac:dyDescent="0.5">
      <c r="A15" s="71"/>
      <c r="B15" s="267" t="s">
        <v>9</v>
      </c>
      <c r="C15" s="81">
        <f>Portafolio!F9</f>
        <v>510.67944870728002</v>
      </c>
      <c r="D15" s="71"/>
      <c r="E15" s="71"/>
      <c r="F15" s="274"/>
      <c r="G15" s="83"/>
      <c r="H15" s="71"/>
      <c r="I15" s="71"/>
      <c r="J15" s="71"/>
      <c r="K15" s="71"/>
      <c r="L15" s="71"/>
      <c r="M15" s="71"/>
      <c r="N15" t="s">
        <v>10</v>
      </c>
    </row>
    <row r="16" spans="1:14" ht="26.15" customHeight="1" x14ac:dyDescent="0.45">
      <c r="A16" s="71"/>
      <c r="B16" s="267" t="s">
        <v>11</v>
      </c>
      <c r="C16" s="81">
        <f ca="1">Portafolio!G9</f>
        <v>44.637891341350041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t="s">
        <v>12</v>
      </c>
    </row>
    <row r="17" spans="1:14" ht="26.15" customHeight="1" thickBot="1" x14ac:dyDescent="0.5">
      <c r="A17" s="71"/>
      <c r="B17" s="271" t="s">
        <v>13</v>
      </c>
      <c r="C17" s="84">
        <f ca="1">Portafolio!H9</f>
        <v>8.7408826523850097E-2</v>
      </c>
      <c r="D17" s="71"/>
      <c r="E17" s="71"/>
      <c r="F17" s="85"/>
      <c r="G17" s="71"/>
      <c r="H17" s="71"/>
      <c r="I17" s="71"/>
      <c r="J17" s="71"/>
      <c r="K17" s="71"/>
      <c r="L17" s="71"/>
      <c r="M17" s="71"/>
      <c r="N17" t="s">
        <v>14</v>
      </c>
    </row>
    <row r="18" spans="1:14" ht="26.15" customHeight="1" x14ac:dyDescent="0.4">
      <c r="A18" s="86"/>
      <c r="B18" s="87"/>
      <c r="C18" s="88"/>
      <c r="D18" s="86"/>
      <c r="E18" s="86"/>
      <c r="F18" s="86"/>
      <c r="G18" s="86"/>
      <c r="H18" s="86"/>
      <c r="I18" s="86"/>
      <c r="J18" s="86"/>
      <c r="K18" s="86"/>
      <c r="L18" s="86"/>
      <c r="M18" s="86"/>
    </row>
    <row r="19" spans="1:14" ht="17" thickBot="1" x14ac:dyDescent="0.5">
      <c r="A19" s="71"/>
      <c r="B19" s="89"/>
      <c r="C19" s="71"/>
      <c r="D19" s="71"/>
      <c r="E19" s="71"/>
      <c r="F19" s="71"/>
      <c r="G19" s="90"/>
      <c r="H19" s="90"/>
      <c r="I19" s="90"/>
      <c r="J19" s="71"/>
      <c r="K19" s="71"/>
      <c r="L19" s="90"/>
      <c r="M19" s="71"/>
    </row>
    <row r="20" spans="1:14" ht="40" customHeight="1" thickBot="1" x14ac:dyDescent="0.5">
      <c r="A20" s="71"/>
      <c r="B20" s="286"/>
      <c r="C20" s="287"/>
      <c r="D20" s="288"/>
      <c r="E20" s="71"/>
      <c r="F20" s="71"/>
      <c r="G20" s="71"/>
      <c r="H20" s="71"/>
      <c r="I20" s="71"/>
      <c r="J20" s="71"/>
      <c r="K20" s="71"/>
      <c r="L20" s="71"/>
      <c r="M20" s="71"/>
    </row>
    <row r="21" spans="1:14" ht="16.5" x14ac:dyDescent="0.4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</row>
    <row r="22" spans="1:14" ht="16.5" x14ac:dyDescent="0.4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</row>
    <row r="23" spans="1:14" ht="16.5" x14ac:dyDescent="0.4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</row>
    <row r="24" spans="1:14" ht="16.5" x14ac:dyDescent="0.4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</row>
    <row r="25" spans="1:14" ht="16.5" x14ac:dyDescent="0.4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</row>
    <row r="26" spans="1:14" ht="16.5" x14ac:dyDescent="0.4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</row>
    <row r="27" spans="1:14" ht="16.5" x14ac:dyDescent="0.4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</row>
    <row r="28" spans="1:14" ht="16.5" x14ac:dyDescent="0.4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</row>
    <row r="29" spans="1:14" ht="16.5" x14ac:dyDescent="0.4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</row>
    <row r="30" spans="1:14" ht="16.5" x14ac:dyDescent="0.4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</row>
    <row r="31" spans="1:14" ht="16.5" x14ac:dyDescent="0.4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</row>
    <row r="32" spans="1:14" ht="16.5" x14ac:dyDescent="0.4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</row>
    <row r="33" spans="1:13" ht="16.5" x14ac:dyDescent="0.4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spans="1:13" ht="16.5" x14ac:dyDescent="0.4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1:13" ht="16.5" x14ac:dyDescent="0.4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  <row r="36" spans="1:13" ht="16.5" x14ac:dyDescent="0.4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</row>
    <row r="37" spans="1:13" ht="16.5" x14ac:dyDescent="0.4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</row>
    <row r="38" spans="1:13" ht="16.5" x14ac:dyDescent="0.4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</row>
    <row r="39" spans="1:13" ht="16.5" x14ac:dyDescent="0.45"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</row>
    <row r="40" spans="1:13" ht="16.5" x14ac:dyDescent="0.45"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</row>
    <row r="41" spans="1:13" ht="16.5" x14ac:dyDescent="0.45"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</row>
    <row r="42" spans="1:13" ht="16.5" x14ac:dyDescent="0.45"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</row>
    <row r="43" spans="1:13" ht="16.5" x14ac:dyDescent="0.45"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</row>
    <row r="44" spans="1:13" ht="16.5" x14ac:dyDescent="0.4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spans="1:13" ht="16.5" x14ac:dyDescent="0.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</row>
  </sheetData>
  <sheetProtection insertRows="0" deleteRows="0" sort="0" autoFilter="0"/>
  <mergeCells count="3">
    <mergeCell ref="B1:D1"/>
    <mergeCell ref="B2:D2"/>
    <mergeCell ref="B20:D20"/>
  </mergeCells>
  <dataValidations count="2">
    <dataValidation type="list" allowBlank="1" showInputMessage="1" showErrorMessage="1" sqref="G8" xr:uid="{359107A2-6140-4993-93CB-4CAA70CC3A1F}">
      <formula1>"Compra,Venta,Dividendo"</formula1>
    </dataValidation>
    <dataValidation type="list" allowBlank="1" showInputMessage="1" showErrorMessage="1" sqref="G11" xr:uid="{F0A1EE15-87F6-46E1-92AA-990152105C0C}">
      <formula1>"Fintual,Webull"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9EA755-15F7-4482-9E2C-A09F26D104BA}">
          <x14:formula1>
            <xm:f>'Base de Datos'!$P$5:$P$10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9F0F-ABD8-422D-90F0-80E2881C509C}">
  <sheetPr codeName="Hoja1">
    <pageSetUpPr fitToPage="1"/>
  </sheetPr>
  <dimension ref="A1:P52"/>
  <sheetViews>
    <sheetView showGridLines="0" tabSelected="1" zoomScaleNormal="100" zoomScaleSheetLayoutView="100" workbookViewId="0"/>
  </sheetViews>
  <sheetFormatPr baseColWidth="10" defaultColWidth="11.453125" defaultRowHeight="14.5" x14ac:dyDescent="0.35"/>
  <cols>
    <col min="1" max="1" width="30.26953125" style="2" customWidth="1"/>
    <col min="2" max="2" width="17.1796875" style="2" customWidth="1"/>
    <col min="3" max="3" width="29" style="2" customWidth="1"/>
    <col min="4" max="4" width="14.7265625" style="2" customWidth="1"/>
    <col min="5" max="5" width="17.26953125" style="2" customWidth="1"/>
    <col min="6" max="6" width="14.26953125" style="2" customWidth="1"/>
    <col min="7" max="7" width="17.26953125" style="2" customWidth="1"/>
    <col min="8" max="8" width="18.453125" style="2" customWidth="1"/>
    <col min="9" max="9" width="17.453125" style="2" customWidth="1"/>
    <col min="10" max="11" width="14.26953125" style="2" customWidth="1"/>
    <col min="12" max="12" width="16" style="2" customWidth="1"/>
    <col min="13" max="13" width="11.453125" style="2"/>
    <col min="14" max="14" width="0" style="2" hidden="1" customWidth="1"/>
    <col min="15" max="15" width="11.453125" style="2" hidden="1" customWidth="1"/>
    <col min="16" max="16" width="0" style="2" hidden="1" customWidth="1"/>
    <col min="17" max="16384" width="11.453125" style="2"/>
  </cols>
  <sheetData>
    <row r="1" spans="1:16" ht="24" customHeight="1" x14ac:dyDescent="0.35">
      <c r="A1" s="91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140"/>
      <c r="I1" s="140"/>
      <c r="J1" s="140"/>
      <c r="K1" s="140"/>
      <c r="L1" s="140"/>
      <c r="M1" s="140"/>
      <c r="N1" s="140"/>
      <c r="O1" s="140"/>
      <c r="P1" s="140"/>
    </row>
    <row r="2" spans="1:16" ht="15" x14ac:dyDescent="0.4">
      <c r="A2" s="198"/>
      <c r="B2" s="198"/>
      <c r="C2" s="198"/>
      <c r="D2" s="198"/>
      <c r="E2" s="198"/>
      <c r="F2" s="198"/>
      <c r="G2" s="198"/>
      <c r="H2" s="140"/>
      <c r="I2" s="140"/>
      <c r="J2" s="140"/>
      <c r="K2" s="140"/>
      <c r="L2" s="140"/>
      <c r="M2" s="140"/>
      <c r="N2" s="140"/>
      <c r="O2" s="140"/>
      <c r="P2" s="140"/>
    </row>
    <row r="3" spans="1:16" ht="24" customHeight="1" x14ac:dyDescent="0.45">
      <c r="A3" s="279" t="s">
        <v>22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71"/>
      <c r="N3" s="71"/>
      <c r="O3" s="71"/>
      <c r="P3" s="71"/>
    </row>
    <row r="4" spans="1:16" ht="5.15" hidden="1" customHeight="1" x14ac:dyDescent="0.4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s="3" customFormat="1" ht="31.5" customHeight="1" x14ac:dyDescent="0.45">
      <c r="A5" s="106" t="s">
        <v>23</v>
      </c>
      <c r="B5" s="106" t="s">
        <v>24</v>
      </c>
      <c r="C5" s="106" t="s">
        <v>25</v>
      </c>
      <c r="D5" s="106" t="s">
        <v>26</v>
      </c>
      <c r="E5" s="106" t="s">
        <v>27</v>
      </c>
      <c r="F5" s="106" t="s">
        <v>28</v>
      </c>
      <c r="G5" s="106" t="s">
        <v>29</v>
      </c>
      <c r="H5" s="106" t="s">
        <v>30</v>
      </c>
      <c r="I5" s="106" t="s">
        <v>31</v>
      </c>
      <c r="J5" s="106" t="s">
        <v>32</v>
      </c>
      <c r="K5" s="106" t="s">
        <v>33</v>
      </c>
      <c r="L5" s="106" t="s">
        <v>34</v>
      </c>
      <c r="M5" s="199"/>
      <c r="N5" s="200" t="s">
        <v>35</v>
      </c>
      <c r="O5" s="200" t="s">
        <v>36</v>
      </c>
      <c r="P5" s="200" t="s">
        <v>31</v>
      </c>
    </row>
    <row r="6" spans="1:16" s="3" customFormat="1" ht="20.149999999999999" customHeight="1" x14ac:dyDescent="0.45">
      <c r="A6" s="201" t="s">
        <v>37</v>
      </c>
      <c r="B6" s="46" cm="1">
        <f t="array" ref="B6">SUM((Tbla_Registros[Ticker]=A6)*(Tbla_Registros[Cantidad])*(Tbla_Registros[Precio])) / SUMIF(Tbla_Registros[Ticker], A6, Tbla_Registros[Cantidad])</f>
        <v>81.160145082450214</v>
      </c>
      <c r="C6" s="46">
        <f ca="1">VLOOKUP(A6,'Base de Datos'!$P$4:$Q$10,2,FALSE)</f>
        <v>89.11</v>
      </c>
      <c r="D6" s="202">
        <f>SUMIF(Tbla_Registros[Ticker], A6, Tbla_Registros[Cantidad])</f>
        <v>2.5024163120000003</v>
      </c>
      <c r="E6" s="46">
        <f ca="1">C6*D6</f>
        <v>222.99031756232003</v>
      </c>
      <c r="F6" s="46">
        <f>B6 * SUMIF(Tbla_Registros[Ticker], A6, Tbla_Registros[Cantidad])</f>
        <v>203.09647093861003</v>
      </c>
      <c r="G6" s="47">
        <f ca="1">E6-F6</f>
        <v>19.893846623710004</v>
      </c>
      <c r="H6" s="48">
        <f ca="1">G6/F6</f>
        <v>9.795269475520979E-2</v>
      </c>
      <c r="I6" s="49">
        <v>0.4</v>
      </c>
      <c r="J6" s="49">
        <f ca="1">E6/SUM($E$6:$E$8)</f>
        <v>0.40155475343664293</v>
      </c>
      <c r="K6" s="48">
        <f ca="1">J6-I6</f>
        <v>1.5547534366429083E-3</v>
      </c>
      <c r="L6" s="48">
        <f ca="1">'Base de Datos'!R5</f>
        <v>3.3779999999999999E-3</v>
      </c>
      <c r="M6" s="199"/>
      <c r="N6" s="199" t="str">
        <f>A6</f>
        <v>SPYM</v>
      </c>
      <c r="O6" s="66">
        <f ca="1">J6</f>
        <v>0.40155475343664293</v>
      </c>
      <c r="P6" s="66">
        <f>I6</f>
        <v>0.4</v>
      </c>
    </row>
    <row r="7" spans="1:16" s="3" customFormat="1" ht="20.149999999999999" customHeight="1" x14ac:dyDescent="0.45">
      <c r="A7" s="201" t="s">
        <v>38</v>
      </c>
      <c r="B7" s="46" cm="1">
        <f t="array" ref="B7">SUM((Tbla_Registros[Ticker]=A7)*(Tbla_Registros[Cantidad])*(Tbla_Registros[Precio])) / SUMIF(Tbla_Registros[Ticker], A7, Tbla_Registros[Cantidad])</f>
        <v>31.063669971996518</v>
      </c>
      <c r="C7" s="46">
        <f ca="1">VLOOKUP(A7,'Base de Datos'!$P$4:$Q$10,2,FALSE)</f>
        <v>32.590000000000003</v>
      </c>
      <c r="D7" s="202">
        <f>SUMIF(Tbla_Registros[Ticker], A7, Tbla_Registros[Cantidad])</f>
        <v>5.1141754100000005</v>
      </c>
      <c r="E7" s="46">
        <f ca="1">C7*D7</f>
        <v>166.67097661190004</v>
      </c>
      <c r="F7" s="46">
        <f>B7 * SUMIF(Tbla_Registros[Ticker], A7, Tbla_Registros[Cantidad])</f>
        <v>158.86505711513999</v>
      </c>
      <c r="G7" s="47">
        <f ca="1">E7-F7</f>
        <v>7.8059194967600547</v>
      </c>
      <c r="H7" s="48">
        <f ca="1">G7/F7</f>
        <v>4.9135534512807243E-2</v>
      </c>
      <c r="I7" s="49">
        <v>0.3</v>
      </c>
      <c r="J7" s="49">
        <f ca="1">E7/SUM($E$6:$E$8)</f>
        <v>0.30013645278446444</v>
      </c>
      <c r="K7" s="48">
        <f ca="1">J7-I7</f>
        <v>1.3645278446444697E-4</v>
      </c>
      <c r="L7" s="48">
        <f ca="1">'Base de Datos'!R6</f>
        <v>6.796E-3</v>
      </c>
      <c r="M7" s="199"/>
      <c r="N7" s="199" t="str">
        <f>A7</f>
        <v>SCHD</v>
      </c>
      <c r="O7" s="66">
        <f ca="1">J7</f>
        <v>0.30013645278446444</v>
      </c>
      <c r="P7" s="66">
        <f>I7</f>
        <v>0.3</v>
      </c>
    </row>
    <row r="8" spans="1:16" s="3" customFormat="1" ht="20.149999999999999" customHeight="1" x14ac:dyDescent="0.45">
      <c r="A8" s="201" t="s">
        <v>39</v>
      </c>
      <c r="B8" s="46" cm="1">
        <f t="array" ref="B8">SUM((Tbla_Registros[Ticker]=A8)*(Tbla_Registros[Cantidad])*(Tbla_Registros[Precio])) / SUMIF(Tbla_Registros[Ticker], A8, Tbla_Registros[Cantidad])</f>
        <v>31.232765651419882</v>
      </c>
      <c r="C8" s="46">
        <f ca="1">VLOOKUP(A8,'Base de Datos'!$P$4:$Q$10,2,FALSE)</f>
        <v>34.79</v>
      </c>
      <c r="D8" s="202">
        <f>SUMIF(Tbla_Registros[Ticker], A8, Tbla_Registros[Cantidad])</f>
        <v>4.761599479</v>
      </c>
      <c r="E8" s="46">
        <f ca="1">C8*D8</f>
        <v>165.65604587440998</v>
      </c>
      <c r="F8" s="46">
        <f>B8 * SUMIF(Tbla_Registros[Ticker], A8, Tbla_Registros[Cantidad])</f>
        <v>148.71792065353</v>
      </c>
      <c r="G8" s="47">
        <f ca="1">E8-F8</f>
        <v>16.938125220879982</v>
      </c>
      <c r="H8" s="48">
        <f ca="1">G8/F8</f>
        <v>0.11389431177121515</v>
      </c>
      <c r="I8" s="49">
        <v>0.3</v>
      </c>
      <c r="J8" s="49">
        <f ca="1">E8/SUM($E$6:$E$8)</f>
        <v>0.29830879377889263</v>
      </c>
      <c r="K8" s="48">
        <f ca="1">J8-I8</f>
        <v>-1.6912062211073553E-3</v>
      </c>
      <c r="L8" s="48">
        <f ca="1">'Base de Datos'!R7</f>
        <v>3.4610000000000001E-3</v>
      </c>
      <c r="M8" s="199"/>
      <c r="N8" s="199" t="str">
        <f>A8</f>
        <v>SCHG</v>
      </c>
      <c r="O8" s="66">
        <f ca="1">J8</f>
        <v>0.29830879377889263</v>
      </c>
      <c r="P8" s="66">
        <f>I8</f>
        <v>0.3</v>
      </c>
    </row>
    <row r="9" spans="1:16" ht="20.149999999999999" customHeight="1" x14ac:dyDescent="0.45">
      <c r="A9" s="179" t="s">
        <v>40</v>
      </c>
      <c r="B9" s="203"/>
      <c r="C9" s="203"/>
      <c r="D9" s="203"/>
      <c r="E9" s="39">
        <f ca="1">SUM(E6:E8)</f>
        <v>555.31734004863006</v>
      </c>
      <c r="F9" s="39">
        <f>SUBTOTAL(109,tblPortafolio[Invertido])</f>
        <v>510.67944870728002</v>
      </c>
      <c r="G9" s="39">
        <f ca="1">SUM(G6:G8)</f>
        <v>44.637891341350041</v>
      </c>
      <c r="H9" s="38">
        <f ca="1">G9/F9</f>
        <v>8.7408826523850097E-2</v>
      </c>
      <c r="I9" s="204">
        <f>I6+I7+I8</f>
        <v>1</v>
      </c>
      <c r="J9" s="203"/>
      <c r="K9" s="203"/>
      <c r="L9" s="48"/>
      <c r="M9" s="71"/>
      <c r="N9" s="71"/>
      <c r="O9" s="71"/>
      <c r="P9" s="71"/>
    </row>
    <row r="10" spans="1:16" ht="20.149999999999999" customHeight="1" x14ac:dyDescent="0.45">
      <c r="A10" s="179"/>
      <c r="B10" s="203"/>
      <c r="C10" s="203"/>
      <c r="D10" s="203"/>
      <c r="E10" s="39"/>
      <c r="F10" s="39"/>
      <c r="G10" s="39"/>
      <c r="H10" s="38"/>
      <c r="I10" s="204"/>
      <c r="J10" s="203"/>
      <c r="K10" s="203"/>
      <c r="L10" s="48"/>
      <c r="M10" s="71"/>
      <c r="N10" s="71"/>
      <c r="O10" s="71"/>
      <c r="P10" s="71"/>
    </row>
    <row r="11" spans="1:16" ht="19.5" customHeight="1" x14ac:dyDescent="0.45">
      <c r="A11" s="279" t="s">
        <v>41</v>
      </c>
      <c r="B11" s="281"/>
      <c r="C11" s="28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</row>
    <row r="12" spans="1:16" ht="17.5" x14ac:dyDescent="0.45">
      <c r="A12" s="205" t="s">
        <v>42</v>
      </c>
      <c r="B12" s="205" t="s">
        <v>43</v>
      </c>
      <c r="C12" s="205" t="s">
        <v>44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</row>
    <row r="13" spans="1:16" ht="16.5" x14ac:dyDescent="0.45">
      <c r="A13" s="206" t="s">
        <v>45</v>
      </c>
      <c r="B13" s="207" cm="1">
        <f t="array" aca="1" ref="B13" ca="1">SUMPRODUCT(J6:J8^2)*10000</f>
        <v>3403.1624674342202</v>
      </c>
      <c r="C13" s="203" t="str">
        <f ca="1">IF(B13&lt;1500,"✅ Diversificado",IF(B13&lt;2500,"🟡 Moderado","🔴 Concentrado"))</f>
        <v>🔴 Concentrado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</row>
    <row r="14" spans="1:16" ht="16.5" x14ac:dyDescent="0.45">
      <c r="A14" s="206" t="s">
        <v>46</v>
      </c>
      <c r="B14" s="207">
        <f ca="1">HHIReal!N4</f>
        <v>184.65694306853706</v>
      </c>
      <c r="C14" s="203" t="str">
        <f ca="1">IF(B14&lt;1500,"✅ Diversificado",IF(B14&lt;2500,"🟡 Moderado","🔴 Concentrado"))</f>
        <v>✅ Diversificado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</row>
    <row r="15" spans="1:16" ht="16.5" x14ac:dyDescent="0.45">
      <c r="A15" s="206" t="s">
        <v>47</v>
      </c>
      <c r="B15" s="66" cm="1">
        <f t="array" aca="1" ref="B15" ca="1">MAX(ABS(K6:K8))</f>
        <v>1.6912062211073553E-3</v>
      </c>
      <c r="C15" s="199" t="str">
        <f ca="1">IF(B15&lt;0.02,"✅ Alineado",IF(B15&lt;0.05,"🟡 Revisar","🔴 Rebalancear"))</f>
        <v>✅ Alineado</v>
      </c>
      <c r="D15" s="71"/>
      <c r="E15" s="71"/>
      <c r="F15" s="71"/>
      <c r="G15" s="71"/>
      <c r="H15" s="71"/>
      <c r="I15" s="71" t="s">
        <v>48</v>
      </c>
      <c r="J15" s="71"/>
      <c r="K15" s="71"/>
      <c r="L15" s="71"/>
      <c r="M15" s="71"/>
      <c r="N15" s="71"/>
      <c r="O15" s="71"/>
      <c r="P15" s="71"/>
    </row>
    <row r="16" spans="1:16" ht="16.5" x14ac:dyDescent="0.45">
      <c r="A16" s="206" t="s">
        <v>49</v>
      </c>
      <c r="B16" s="199" t="str">
        <f ca="1">INDEX(A6:A8,MATCH(MAX(J6:J8),J6:J8,0))</f>
        <v>SPYM</v>
      </c>
      <c r="C16" s="66">
        <f ca="1">MAX(J6:J8)</f>
        <v>0.40155475343664293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</row>
    <row r="17" spans="1:16" ht="16.5" x14ac:dyDescent="0.45">
      <c r="A17" s="206" t="s">
        <v>50</v>
      </c>
      <c r="B17" s="208">
        <f ca="1">AVERAGE(G6:G8)</f>
        <v>14.879297113783347</v>
      </c>
      <c r="C17" s="203" t="str">
        <f ca="1">IF(B17&gt;0,"✅ Positivo","🔴 Negativo")</f>
        <v>✅ Positivo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</row>
    <row r="18" spans="1:16" ht="16.5" x14ac:dyDescent="0.45">
      <c r="A18" s="206" t="s">
        <v>51</v>
      </c>
      <c r="B18" s="259">
        <f ca="1">TODAY()-MIN(Tbla_Registros[Fecha])</f>
        <v>58</v>
      </c>
      <c r="C18" s="199" t="s">
        <v>52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</row>
    <row r="19" spans="1:16" ht="16.5" x14ac:dyDescent="0.45">
      <c r="A19" s="206" t="s">
        <v>53</v>
      </c>
      <c r="B19" s="38">
        <f ca="1">IF(B18&gt;0,((1+H9)^(365/B18))-1,0)</f>
        <v>0.69443141262821473</v>
      </c>
      <c r="C19" s="199" t="s">
        <v>54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</row>
    <row r="20" spans="1:16" ht="16.5" x14ac:dyDescent="0.45">
      <c r="A20" s="206" t="s">
        <v>55</v>
      </c>
      <c r="B20" s="38">
        <f ca="1">MAX(H6:H8)-MIN(H6:H8)</f>
        <v>6.4758777258407896E-2</v>
      </c>
      <c r="C20" s="199" t="s">
        <v>56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</row>
    <row r="21" spans="1:16" ht="16.5" x14ac:dyDescent="0.45">
      <c r="A21" s="206" t="s">
        <v>57</v>
      </c>
      <c r="B21" s="38">
        <f ca="1">Dashboard!B21</f>
        <v>-2.0792646023246639E-2</v>
      </c>
      <c r="C21" s="199" t="str">
        <f ca="1">IF(B21&gt;0.01,"✅ Superando benchmark",IF(B21&lt;-0.01,"⚠️ Por debajo del benchmark","🎯 En línea con benchmark"))</f>
        <v>⚠️ Por debajo del benchmark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spans="1:16" ht="16.5" x14ac:dyDescent="0.45">
      <c r="A22" s="206" t="s">
        <v>58</v>
      </c>
      <c r="B22" s="208">
        <f ca="1">IF(B18&gt;0,G9/B18,0)</f>
        <v>0.76961881623017314</v>
      </c>
      <c r="C22" s="199" t="s">
        <v>59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spans="1:16" ht="16.5" x14ac:dyDescent="0.45">
      <c r="A23" s="206" t="s">
        <v>60</v>
      </c>
      <c r="B23" s="199" t="str">
        <f ca="1">_xlfn.XLOOKUP(MAX(Tbla_Registros[Rendimiento %]),Tbla_Registros[Rendimiento %],Tbla_Registros[Ticker],"")</f>
        <v>SCHG</v>
      </c>
      <c r="C23" s="206" t="str">
        <f ca="1">"🏆 Mayor rendimiento: "&amp;TEXT(MAX(Tbla_Registros[Rendimiento %]),"0.00%")</f>
        <v>🏆 Mayor rendimiento: 19.59%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</row>
    <row r="24" spans="1:16" ht="16.5" x14ac:dyDescent="0.45">
      <c r="A24" s="206" t="s">
        <v>61</v>
      </c>
      <c r="B24" s="199" t="str">
        <f ca="1">IF(E9&gt;=600,"✅ Alcanzado","Faltan: "&amp;TEXT(MAX(0,600-E9),"$#,##0.00"))</f>
        <v>Faltan: $44.68</v>
      </c>
      <c r="C24" s="199" t="str">
        <f ca="1">IF(E9&gt;=600,"🎯 100% completado","🎯 "&amp;TEXT(MIN(E9/600,1),"0.00%")&amp;" completado")</f>
        <v>🎯 92.55% completado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</row>
    <row r="25" spans="1:16" ht="16.5" x14ac:dyDescent="0.4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</row>
    <row r="26" spans="1:16" ht="20" x14ac:dyDescent="0.55000000000000004">
      <c r="A26" s="291" t="s">
        <v>62</v>
      </c>
      <c r="B26" s="292"/>
      <c r="C26" s="292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</row>
    <row r="27" spans="1:16" ht="16.5" x14ac:dyDescent="0.45">
      <c r="A27" s="209" t="s">
        <v>63</v>
      </c>
      <c r="B27" s="209" t="s">
        <v>64</v>
      </c>
      <c r="C27" s="209" t="s">
        <v>65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</row>
    <row r="28" spans="1:16" ht="16.5" x14ac:dyDescent="0.45">
      <c r="A28" s="71" t="s">
        <v>66</v>
      </c>
      <c r="B28" s="90">
        <f>F9</f>
        <v>510.67944870728002</v>
      </c>
      <c r="C28" s="210">
        <f ca="1">F9/E9</f>
        <v>0.9196173284676451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</row>
    <row r="29" spans="1:16" ht="16.5" x14ac:dyDescent="0.45">
      <c r="A29" s="71" t="s">
        <v>67</v>
      </c>
      <c r="B29" s="90">
        <f ca="1">G9</f>
        <v>44.637891341350041</v>
      </c>
      <c r="C29" s="210">
        <f ca="1">G9/E9</f>
        <v>8.0382671532354871E-2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</row>
    <row r="30" spans="1:16" ht="16.5" x14ac:dyDescent="0.45">
      <c r="A30" s="179" t="s">
        <v>40</v>
      </c>
      <c r="B30" s="107">
        <f ca="1">E9</f>
        <v>555.31734004863006</v>
      </c>
      <c r="C30" s="108">
        <v>1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</row>
    <row r="31" spans="1:16" ht="16.5" x14ac:dyDescent="0.4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</row>
    <row r="32" spans="1:16" ht="16.5" x14ac:dyDescent="0.4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</row>
    <row r="33" spans="1:16" ht="17.5" x14ac:dyDescent="0.45">
      <c r="A33" s="293" t="s">
        <v>68</v>
      </c>
      <c r="B33" s="293"/>
      <c r="C33" s="293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spans="1:16" ht="16.5" x14ac:dyDescent="0.45">
      <c r="A34" s="211" t="s">
        <v>35</v>
      </c>
      <c r="B34" s="211" t="s">
        <v>33</v>
      </c>
      <c r="C34" s="211" t="s">
        <v>69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spans="1:16" ht="16.5" x14ac:dyDescent="0.45">
      <c r="A35" s="71" t="str">
        <f>A6</f>
        <v>SPYM</v>
      </c>
      <c r="B35" s="210">
        <f ca="1">K6</f>
        <v>1.5547534366429083E-3</v>
      </c>
      <c r="C35" s="71" t="str">
        <f ca="1">IF(ABS(K6)&lt;=0.01,"✅ Alineado",IF(K6&gt;0,"🔴 Reducir "&amp;A6&amp;" (sobre-ponderado)","🟡 Aumentar "&amp;A6&amp;" (sub-ponderado)"))</f>
        <v>✅ Alineado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1:16" ht="16.5" x14ac:dyDescent="0.45">
      <c r="A36" s="71" t="str">
        <f>A7</f>
        <v>SCHD</v>
      </c>
      <c r="B36" s="210">
        <f ca="1">K7</f>
        <v>1.3645278446444697E-4</v>
      </c>
      <c r="C36" s="71" t="str">
        <f ca="1">IF(ABS(K7)&lt;=0.01,"✅ Alineado",IF(K7&gt;0,"🔴 Reducir "&amp;A7&amp;" (sobre-ponderado)","🟡 Aumentar "&amp;A7&amp;" (sub-ponderado)"))</f>
        <v>✅ Alineado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1:16" ht="16.5" x14ac:dyDescent="0.45">
      <c r="A37" s="71" t="str">
        <f>A8</f>
        <v>SCHG</v>
      </c>
      <c r="B37" s="210">
        <f ca="1">K8</f>
        <v>-1.6912062211073553E-3</v>
      </c>
      <c r="C37" s="71" t="str">
        <f ca="1">IF(ABS(K8)&lt;=0.01,"✅ Alineado",IF(K8&gt;0,"🔴 Reducir "&amp;A8&amp;" (sobre-ponderado)","🟡 Aumentar "&amp;A8&amp;" (sub-ponderado)"))</f>
        <v>✅ Alineado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  <row r="38" spans="1:16" ht="16.5" x14ac:dyDescent="0.4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</row>
    <row r="39" spans="1:16" ht="16.5" x14ac:dyDescent="0.45">
      <c r="A39" s="289" t="str">
        <f ca="1">IF(MAX(ABS(K6),ABS(K7),ABS(K8))&lt;=0.01,"✅ Portafolio Balanceado — sin acciones requeridas","⚠️ Hay activos fuera de rango — revisa las acciones recomendadas")</f>
        <v>✅ Portafolio Balanceado — sin acciones requeridas</v>
      </c>
      <c r="B39" s="289"/>
      <c r="C39" s="289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</row>
    <row r="40" spans="1:16" ht="16.5" x14ac:dyDescent="0.4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spans="1:16" ht="16.5" x14ac:dyDescent="0.4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</row>
    <row r="42" spans="1:16" ht="16.5" x14ac:dyDescent="0.4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</row>
    <row r="43" spans="1:16" ht="16.5" x14ac:dyDescent="0.4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</row>
    <row r="44" spans="1:16" ht="16.5" x14ac:dyDescent="0.4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</row>
    <row r="45" spans="1:16" ht="16.5" x14ac:dyDescent="0.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</row>
    <row r="46" spans="1:16" ht="16.5" x14ac:dyDescent="0.4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</row>
    <row r="47" spans="1:16" ht="16.5" x14ac:dyDescent="0.4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</row>
    <row r="48" spans="1:16" ht="16.5" x14ac:dyDescent="0.4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</row>
    <row r="49" spans="1:16" ht="16.5" x14ac:dyDescent="0.4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</row>
    <row r="50" spans="1:16" ht="16.5" x14ac:dyDescent="0.4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</row>
    <row r="51" spans="1:16" ht="16.5" x14ac:dyDescent="0.4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</row>
    <row r="52" spans="1:16" ht="16.5" x14ac:dyDescent="0.4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</row>
  </sheetData>
  <sheetProtection sheet="1" scenarios="1" insertRows="0" deleteRows="0"/>
  <mergeCells count="5">
    <mergeCell ref="A39:C39"/>
    <mergeCell ref="A11:C11"/>
    <mergeCell ref="A3:L3"/>
    <mergeCell ref="A26:C26"/>
    <mergeCell ref="A33:C33"/>
  </mergeCells>
  <conditionalFormatting sqref="B19:B21">
    <cfRule type="iconSet" priority="1">
      <iconSet iconSet="3Arrows">
        <cfvo type="percent" val="0"/>
        <cfvo type="num" val="0"/>
        <cfvo type="num" val="0" gte="0"/>
      </iconSet>
    </cfRule>
    <cfRule type="cellIs" dxfId="43" priority="2" operator="lessThan">
      <formula>0</formula>
    </cfRule>
    <cfRule type="cellIs" dxfId="42" priority="3" operator="greaterThan">
      <formula>0</formula>
    </cfRule>
  </conditionalFormatting>
  <conditionalFormatting sqref="C13">
    <cfRule type="containsText" dxfId="41" priority="63" operator="containsText" text="Concentrado">
      <formula>NOT(ISERROR(SEARCH("Concentrado",C13)))</formula>
    </cfRule>
  </conditionalFormatting>
  <conditionalFormatting sqref="C14">
    <cfRule type="containsText" dxfId="40" priority="64" operator="containsText" text="Diversificado">
      <formula>NOT(ISERROR(SEARCH("Diversificado",C14)))</formula>
    </cfRule>
  </conditionalFormatting>
  <conditionalFormatting sqref="C15">
    <cfRule type="containsText" dxfId="39" priority="65" operator="containsText" text="Alineado">
      <formula>NOT(ISERROR(SEARCH("Alineado",C15)))</formula>
    </cfRule>
  </conditionalFormatting>
  <conditionalFormatting sqref="C17">
    <cfRule type="containsText" dxfId="38" priority="66" operator="containsText" text="Positivo">
      <formula>NOT(ISERROR(SEARCH("Positivo",C17)))</formula>
    </cfRule>
  </conditionalFormatting>
  <conditionalFormatting sqref="C21">
    <cfRule type="containsText" dxfId="37" priority="67" operator="containsText" text="Superando">
      <formula>NOT(ISERROR(SEARCH("Superando",C21)))</formula>
    </cfRule>
    <cfRule type="containsText" dxfId="36" priority="68" operator="containsText" text="debajo">
      <formula>NOT(ISERROR(SEARCH("debajo",C21)))</formula>
    </cfRule>
  </conditionalFormatting>
  <conditionalFormatting sqref="G6:H9">
    <cfRule type="iconSet" priority="7">
      <iconSet iconSet="3Arrows">
        <cfvo type="percent" val="0"/>
        <cfvo type="num" val="0"/>
        <cfvo type="num" val="0" gte="0"/>
      </iconSet>
    </cfRule>
    <cfRule type="cellIs" dxfId="35" priority="8" operator="lessThan">
      <formula>0</formula>
    </cfRule>
    <cfRule type="cellIs" dxfId="34" priority="9" operator="greaterThan">
      <formula>0</formula>
    </cfRule>
  </conditionalFormatting>
  <conditionalFormatting sqref="H10">
    <cfRule type="cellIs" dxfId="33" priority="27" operator="equal">
      <formula>0</formula>
    </cfRule>
  </conditionalFormatting>
  <conditionalFormatting sqref="K6:L8">
    <cfRule type="iconSet" priority="4">
      <iconSet iconSet="3Arrows">
        <cfvo type="percent" val="0"/>
        <cfvo type="num" val="0"/>
        <cfvo type="num" val="0" gte="0"/>
      </iconSet>
    </cfRule>
    <cfRule type="cellIs" dxfId="32" priority="5" operator="lessThan">
      <formula>0</formula>
    </cfRule>
    <cfRule type="cellIs" dxfId="31" priority="6" operator="greaterThan">
      <formula>0</formula>
    </cfRule>
  </conditionalFormatting>
  <hyperlinks>
    <hyperlink ref="A1" location="'🏠 Inicio'!A1" display="🏠 Inicio" xr:uid="{20BC6C3E-298B-45F0-AE9A-F7D2418F21C6}"/>
    <hyperlink ref="B1" location="Portafolio!A1" display="📈 Portafolio" xr:uid="{38222E56-B8B3-4516-8603-DF2201EA9F65}"/>
    <hyperlink ref="C1" location="Dashboard!A1" display="📊 Dashboard" xr:uid="{62050E81-4568-418E-B137-FB031615648A}"/>
    <hyperlink ref="D1" location="Historial!A1" display="📉 Historial" xr:uid="{AD971194-8557-42D5-BC90-4C14FABA569E}"/>
    <hyperlink ref="E1" location="'Base de Datos'!A1" display="🗃️ Base de Datos" xr:uid="{CD3927B3-0251-4415-88D5-B14466860D59}"/>
    <hyperlink ref="F1" location="'Graficos Dashboard'!A1" display="📊 Gráficos" xr:uid="{AB11126F-D4EA-4757-A788-4AE199EB09B5}"/>
    <hyperlink ref="G1" location="HHIReal!A1" display="🧩 HHI Real" xr:uid="{9040F121-8B59-4FED-80D7-4AE356F1ED8A}"/>
  </hyperlinks>
  <pageMargins left="0.7" right="0.7" top="0.75" bottom="0.75" header="0.3" footer="0.3"/>
  <pageSetup scale="55" fitToHeight="0" orientation="landscape" r:id="rId1"/>
  <ignoredErrors>
    <ignoredError sqref="B6 F6 C6:D6 C7:C8 L6:L8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1A3B00AB-8235-454C-A523-F3457B0006E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G10</xm:sqref>
        </x14:conditionalFormatting>
      </x14:conditionalFormattings>
    </ext>
    <ext xmlns:x15="http://schemas.microsoft.com/office/spreadsheetml/2010/11/main" uri="{F7C9EE02-42E1-4005-9D12-6889AFFD525C}">
      <x15:webExtensions xmlns:xm="http://schemas.microsoft.com/office/excel/2006/main">
        <x15:webExtension appRef="{96C890BB-43D6-42E7-AEC6-F22262C816B0}">
          <xm:f>HHIReal!$J$6</xm:f>
        </x15:webExtension>
        <x15:webExtension appRef="{4C8C41DC-2D12-42C1-8B70-1AC397353E76}">
          <xm:f>HHIReal!$J$7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96E5-239F-4D06-9EC8-BE606A471E61}">
  <sheetPr codeName="Hoja2"/>
  <dimension ref="A1:T45"/>
  <sheetViews>
    <sheetView showGridLines="0" zoomScaleNormal="100" zoomScaleSheetLayoutView="100" workbookViewId="0">
      <selection activeCell="E1" sqref="E1"/>
    </sheetView>
  </sheetViews>
  <sheetFormatPr baseColWidth="10" defaultColWidth="11.453125" defaultRowHeight="14.5" x14ac:dyDescent="0.35"/>
  <cols>
    <col min="1" max="1" width="34.26953125" style="1" customWidth="1"/>
    <col min="2" max="2" width="28.1796875" style="1" customWidth="1"/>
    <col min="3" max="3" width="14.54296875" style="20" customWidth="1"/>
    <col min="4" max="4" width="20.81640625" style="1" bestFit="1" customWidth="1"/>
    <col min="5" max="5" width="19.1796875" style="1" customWidth="1"/>
    <col min="6" max="6" width="15.26953125" style="1" customWidth="1"/>
    <col min="7" max="7" width="12.453125" style="1" customWidth="1"/>
    <col min="8" max="8" width="13.26953125" style="1" customWidth="1"/>
    <col min="9" max="9" width="18.81640625" style="1" bestFit="1" customWidth="1"/>
    <col min="10" max="10" width="1.54296875" style="19" customWidth="1"/>
    <col min="11" max="11" width="26.7265625" style="2" customWidth="1"/>
    <col min="12" max="12" width="17.1796875" style="19" customWidth="1"/>
    <col min="13" max="13" width="22.81640625" style="2" customWidth="1"/>
    <col min="14" max="14" width="20.26953125" style="2" customWidth="1"/>
    <col min="15" max="15" width="1.54296875" style="19" customWidth="1"/>
    <col min="16" max="16" width="10.26953125" style="2" customWidth="1"/>
    <col min="17" max="17" width="13.26953125" style="2" customWidth="1"/>
    <col min="18" max="18" width="1.54296875" style="19" customWidth="1"/>
    <col min="19" max="19" width="24.7265625" style="2" customWidth="1"/>
    <col min="20" max="20" width="15.26953125" style="2" customWidth="1"/>
    <col min="21" max="16384" width="11.453125" style="2"/>
  </cols>
  <sheetData>
    <row r="1" spans="1:20" ht="24" customHeight="1" x14ac:dyDescent="0.35">
      <c r="A1" s="91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139"/>
      <c r="I1" s="139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</row>
    <row r="2" spans="1:20" x14ac:dyDescent="0.35">
      <c r="A2" s="141"/>
      <c r="B2" s="141"/>
      <c r="C2" s="141"/>
      <c r="D2" s="141"/>
      <c r="E2" s="141"/>
      <c r="F2" s="141"/>
      <c r="G2" s="141"/>
      <c r="H2" s="139"/>
      <c r="I2" s="139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</row>
    <row r="3" spans="1:20" ht="22" customHeight="1" x14ac:dyDescent="0.45">
      <c r="A3" s="304" t="s">
        <v>70</v>
      </c>
      <c r="B3" s="305"/>
      <c r="C3" s="277"/>
      <c r="D3" s="304" t="s">
        <v>71</v>
      </c>
      <c r="E3" s="305"/>
      <c r="F3" s="305"/>
      <c r="G3" s="305"/>
      <c r="H3" s="306"/>
      <c r="I3" s="296"/>
      <c r="J3" s="71"/>
      <c r="K3" s="71"/>
      <c r="L3" s="71"/>
      <c r="M3" s="71"/>
      <c r="N3" s="71"/>
      <c r="O3" s="71"/>
      <c r="P3" s="142"/>
      <c r="Q3" s="143"/>
      <c r="R3" s="71"/>
      <c r="S3" s="294" t="s">
        <v>72</v>
      </c>
      <c r="T3" s="295"/>
    </row>
    <row r="4" spans="1:20" ht="22" customHeight="1" x14ac:dyDescent="0.45">
      <c r="A4" s="144" t="s">
        <v>42</v>
      </c>
      <c r="B4" s="145" t="s">
        <v>73</v>
      </c>
      <c r="C4" s="146"/>
      <c r="D4" s="147" t="s">
        <v>23</v>
      </c>
      <c r="E4" s="148" t="s">
        <v>74</v>
      </c>
      <c r="F4" s="148" t="s">
        <v>75</v>
      </c>
      <c r="G4" s="148" t="s">
        <v>76</v>
      </c>
      <c r="H4" s="148" t="s">
        <v>77</v>
      </c>
      <c r="I4" s="149" t="s">
        <v>78</v>
      </c>
      <c r="J4" s="71"/>
      <c r="K4" s="294" t="s">
        <v>79</v>
      </c>
      <c r="L4" s="306"/>
      <c r="M4" s="294" t="s">
        <v>80</v>
      </c>
      <c r="N4" s="296"/>
      <c r="O4" s="71"/>
      <c r="P4" s="142"/>
      <c r="Q4" s="150"/>
      <c r="R4" s="71"/>
      <c r="S4" s="151" t="s">
        <v>42</v>
      </c>
      <c r="T4" s="152" t="s">
        <v>43</v>
      </c>
    </row>
    <row r="5" spans="1:20" ht="22" customHeight="1" x14ac:dyDescent="0.45">
      <c r="A5" s="153" t="s">
        <v>81</v>
      </c>
      <c r="B5" s="50">
        <f ca="1">Portafolio!E9</f>
        <v>555.31734004863006</v>
      </c>
      <c r="C5" s="146"/>
      <c r="D5" s="153" t="s">
        <v>37</v>
      </c>
      <c r="E5" s="51">
        <f ca="1">_xlfn.XLOOKUP($D5,Portafolio!$A$6:$A$8,Portafolio!$I$6:$I$8) * SUM(Portafolio!$E$6:$E$8)</f>
        <v>222.12693601945205</v>
      </c>
      <c r="F5" s="51">
        <f ca="1">_xlfn.XLOOKUP($D5,Portafolio!$A$6:$A$8,Portafolio!$E$6:$E$8)</f>
        <v>222.99031756232003</v>
      </c>
      <c r="G5" s="52">
        <f ca="1">E5-F5</f>
        <v>-0.86338154286798385</v>
      </c>
      <c r="H5" s="51">
        <f ca="1">MAX(0, _xlfn.XLOOKUP($D5,Portafolio!$A$6:$A$8,Portafolio!$I$6:$I$8) * (SUM(Portafolio!$E$6:$E$8) + $B$15) - _xlfn.XLOOKUP($D5,Portafolio!$A$6:$A$8,Portafolio!$E$6:$E$8))</f>
        <v>0</v>
      </c>
      <c r="I5" s="53">
        <f ca="1">IF($H5&gt;0, $H5 / _xlfn.XLOOKUP($D5,Portafolio!$A$6:$A$8,Portafolio!$C$6:$C$8), 0)</f>
        <v>0</v>
      </c>
      <c r="J5" s="71"/>
      <c r="K5" s="307">
        <f ca="1">TODAY()</f>
        <v>46177</v>
      </c>
      <c r="L5" s="308"/>
      <c r="M5" s="154" t="s">
        <v>82</v>
      </c>
      <c r="N5" s="155" t="s">
        <v>83</v>
      </c>
      <c r="O5" s="71"/>
      <c r="P5" s="71"/>
      <c r="Q5" s="71"/>
      <c r="R5" s="71"/>
      <c r="S5" s="156" t="s">
        <v>84</v>
      </c>
      <c r="T5" s="157">
        <f>SUMIF(Tbla_Registros[Tipo],"Dividendo",Tbla_Registros[Total])</f>
        <v>0</v>
      </c>
    </row>
    <row r="6" spans="1:20" ht="22" customHeight="1" x14ac:dyDescent="0.45">
      <c r="A6" s="153" t="s">
        <v>85</v>
      </c>
      <c r="B6" s="50">
        <f>Portafolio!F9</f>
        <v>510.67944870728002</v>
      </c>
      <c r="C6" s="146"/>
      <c r="D6" s="153" t="s">
        <v>38</v>
      </c>
      <c r="E6" s="51">
        <f ca="1">_xlfn.XLOOKUP($D6,Portafolio!$A$6:$A$8,Portafolio!$I$6:$I$8) * SUM(Portafolio!$E$6:$E$8)</f>
        <v>166.59520201458901</v>
      </c>
      <c r="F6" s="51">
        <f ca="1">_xlfn.XLOOKUP($D6,Portafolio!$A$6:$A$8,Portafolio!$E$6:$E$8)</f>
        <v>166.67097661190004</v>
      </c>
      <c r="G6" s="52">
        <f t="shared" ref="G6:G7" ca="1" si="0">E6-F6</f>
        <v>-7.577459731103886E-2</v>
      </c>
      <c r="H6" s="51">
        <f ca="1">MAX(0, _xlfn.XLOOKUP($D6,Portafolio!$A$6:$A$8,Portafolio!$I$6:$I$8) * (SUM(Portafolio!$E$6:$E$8) + $B$15) - _xlfn.XLOOKUP($D6,Portafolio!$A$6:$A$8,Portafolio!$E$6:$E$8))</f>
        <v>0</v>
      </c>
      <c r="I6" s="53">
        <f ca="1">IF($H6&gt;0, $H6 / _xlfn.XLOOKUP($D6,Portafolio!$A$6:$A$8,Portafolio!$C$6:$C$8), 0)</f>
        <v>0</v>
      </c>
      <c r="J6" s="71"/>
      <c r="K6" s="158"/>
      <c r="L6" s="71"/>
      <c r="M6" s="159" t="str">
        <f ca="1">HHIReal!J12</f>
        <v>NVDA</v>
      </c>
      <c r="N6" s="160">
        <f ca="1">HHIReal!K12</f>
        <v>7.1659470805020012E-2</v>
      </c>
      <c r="O6" s="71"/>
      <c r="P6" s="71"/>
      <c r="Q6" s="71"/>
      <c r="R6" s="71"/>
      <c r="S6" s="156" t="s">
        <v>86</v>
      </c>
      <c r="T6" s="161">
        <f>COUNTIF(Tbla_Registros[Tipo],"Dividendo")</f>
        <v>0</v>
      </c>
    </row>
    <row r="7" spans="1:20" ht="22" customHeight="1" x14ac:dyDescent="0.45">
      <c r="A7" s="153" t="s">
        <v>29</v>
      </c>
      <c r="B7" s="54">
        <f ca="1">B5 - B6</f>
        <v>44.637891341350041</v>
      </c>
      <c r="C7" s="146"/>
      <c r="D7" s="162" t="s">
        <v>39</v>
      </c>
      <c r="E7" s="55">
        <f ca="1">_xlfn.XLOOKUP($D7,Portafolio!$A$6:$A$8,Portafolio!$I$6:$I$8) * SUM(Portafolio!$E$6:$E$8)</f>
        <v>166.59520201458901</v>
      </c>
      <c r="F7" s="55">
        <f ca="1">_xlfn.XLOOKUP($D7,Portafolio!$A$6:$A$8,Portafolio!$E$6:$E$8)</f>
        <v>165.65604587440998</v>
      </c>
      <c r="G7" s="56">
        <f t="shared" ca="1" si="0"/>
        <v>0.93915614017902271</v>
      </c>
      <c r="H7" s="55">
        <f ca="1">MAX(0, _xlfn.XLOOKUP($D7,Portafolio!$A$6:$A$8,Portafolio!$I$6:$I$8) * (SUM(Portafolio!$E$6:$E$8) + $B$15) - _xlfn.XLOOKUP($D7,Portafolio!$A$6:$A$8,Portafolio!$E$6:$E$8))</f>
        <v>0.93915614017902271</v>
      </c>
      <c r="I7" s="57">
        <f ca="1">IF($H7&gt;0, $H7 / _xlfn.XLOOKUP($D7,Portafolio!$A$6:$A$8,Portafolio!$C$6:$C$8), 0)</f>
        <v>2.6995002592096085E-2</v>
      </c>
      <c r="J7" s="71"/>
      <c r="K7" s="294" t="s">
        <v>87</v>
      </c>
      <c r="L7" s="306"/>
      <c r="M7" s="159" t="str">
        <f ca="1">HHIReal!J13</f>
        <v>AAPL</v>
      </c>
      <c r="N7" s="160">
        <f ca="1">HHIReal!K13</f>
        <v>5.5982165918751485E-2</v>
      </c>
      <c r="O7" s="71"/>
      <c r="P7" s="71"/>
      <c r="Q7" s="71"/>
      <c r="R7" s="71"/>
      <c r="S7" s="156" t="s">
        <v>88</v>
      </c>
      <c r="T7" s="157">
        <f>SUMIFS(Tbla_Registros[Total],Tbla_Registros[Tipo],"Dividendo",Tbla_Registros[Ticker],"SPYM")</f>
        <v>0</v>
      </c>
    </row>
    <row r="8" spans="1:20" ht="22" customHeight="1" x14ac:dyDescent="0.45">
      <c r="A8" s="153" t="s">
        <v>30</v>
      </c>
      <c r="B8" s="25">
        <f ca="1">(B5 - B6) / B6</f>
        <v>8.7408826523850097E-2</v>
      </c>
      <c r="C8" s="276"/>
      <c r="D8" s="163"/>
      <c r="E8" s="146"/>
      <c r="F8" s="146"/>
      <c r="G8" s="146"/>
      <c r="H8" s="146"/>
      <c r="I8" s="164"/>
      <c r="J8" s="71"/>
      <c r="K8" s="165" t="s">
        <v>89</v>
      </c>
      <c r="L8" s="166">
        <v>1000</v>
      </c>
      <c r="M8" s="159" t="str">
        <f ca="1">HHIReal!J14</f>
        <v>MSFT</v>
      </c>
      <c r="N8" s="160">
        <f ca="1">HHIReal!K14</f>
        <v>3.8632401360660158E-2</v>
      </c>
      <c r="O8" s="71"/>
      <c r="P8" s="71"/>
      <c r="Q8" s="71"/>
      <c r="R8" s="71"/>
      <c r="S8" s="156" t="s">
        <v>90</v>
      </c>
      <c r="T8" s="157">
        <f>SUMIFS(Tbla_Registros[Total],Tbla_Registros[Tipo],"Dividendo",Tbla_Registros[Ticker],"SCHD")</f>
        <v>0</v>
      </c>
    </row>
    <row r="9" spans="1:20" ht="22" customHeight="1" x14ac:dyDescent="0.45">
      <c r="A9" s="153" t="s">
        <v>91</v>
      </c>
      <c r="B9" s="58" t="str">
        <f ca="1">INDEX(Portafolio!A6:A8, MATCH(MAX(Portafolio!H6:H8), Portafolio!H6:H8, 0))</f>
        <v>SCHG</v>
      </c>
      <c r="C9" s="146"/>
      <c r="D9" s="297" t="s">
        <v>92</v>
      </c>
      <c r="E9" s="298"/>
      <c r="F9" s="298"/>
      <c r="G9" s="298"/>
      <c r="H9" s="298"/>
      <c r="I9" s="299"/>
      <c r="J9" s="71"/>
      <c r="K9" s="167" t="s">
        <v>93</v>
      </c>
      <c r="L9" s="168">
        <f ca="1">MAX(0,L8-B5)</f>
        <v>444.68265995136994</v>
      </c>
      <c r="M9" s="159" t="str">
        <f ca="1">HHIReal!J15</f>
        <v>AMZN</v>
      </c>
      <c r="N9" s="160">
        <f ca="1">HHIReal!K15</f>
        <v>3.3516096610814533E-2</v>
      </c>
      <c r="O9" s="71"/>
      <c r="P9" s="71"/>
      <c r="Q9" s="71"/>
      <c r="R9" s="71"/>
      <c r="S9" s="156" t="s">
        <v>94</v>
      </c>
      <c r="T9" s="157">
        <f>SUMIFS(Tbla_Registros[Total],Tbla_Registros[Tipo],"Dividendo",Tbla_Registros[Ticker],"SCHG")</f>
        <v>0</v>
      </c>
    </row>
    <row r="10" spans="1:20" ht="22" customHeight="1" x14ac:dyDescent="0.45">
      <c r="A10" s="153" t="s">
        <v>95</v>
      </c>
      <c r="B10" s="58" t="str">
        <f ca="1">INDEX(Portafolio!A6:A8, MATCH(MIN(Portafolio!H6:H8), Portafolio!H6:H8, 0))</f>
        <v>SCHD</v>
      </c>
      <c r="C10" s="164"/>
      <c r="D10" s="169" t="s">
        <v>96</v>
      </c>
      <c r="E10" s="302" t="str" cm="1">
        <f t="array" aca="1" ref="E10" ca="1">IF(MAX(ABS(Portafolio!K6:K8))&gt;0.05,"🔴 REBALANCEO NECESARIO - Desviación &gt; 5%","✅ Portafolio Balanceado")</f>
        <v>✅ Portafolio Balanceado</v>
      </c>
      <c r="F10" s="303"/>
      <c r="G10" s="303"/>
      <c r="H10" s="303"/>
      <c r="I10" s="303"/>
      <c r="J10" s="71"/>
      <c r="K10" s="170" t="s">
        <v>97</v>
      </c>
      <c r="L10" s="171">
        <f ca="1">MIN(B5/L8,1)</f>
        <v>0.55531734004863009</v>
      </c>
      <c r="M10" s="172" t="str">
        <f ca="1">HHIReal!J16</f>
        <v>GOOGL</v>
      </c>
      <c r="N10" s="173">
        <f ca="1">HHIReal!K16</f>
        <v>2.9881177750984391E-2</v>
      </c>
      <c r="O10" s="71"/>
      <c r="P10" s="71"/>
      <c r="Q10" s="71"/>
      <c r="R10" s="71"/>
      <c r="S10" s="174" t="s">
        <v>98</v>
      </c>
      <c r="T10" s="175">
        <f>IFERROR(AVERAGEIF(Tbla_Registros[Tipo],"Dividendo",Tbla_Registros[Total]),0)</f>
        <v>0</v>
      </c>
    </row>
    <row r="11" spans="1:20" ht="22" customHeight="1" x14ac:dyDescent="0.45">
      <c r="A11" s="176" t="s">
        <v>99</v>
      </c>
      <c r="B11" s="58" t="str">
        <f ca="1">INDEX(Portafolio!A6:A8, MATCH(MAX(Portafolio!J6:J8), Portafolio!J6:J8, 0))</f>
        <v>SPYM</v>
      </c>
      <c r="C11" s="164"/>
      <c r="D11" s="146"/>
      <c r="E11" s="146"/>
      <c r="F11" s="146"/>
      <c r="G11" s="146"/>
      <c r="H11" s="146"/>
      <c r="I11" s="146"/>
      <c r="J11" s="71"/>
      <c r="K11" s="300" t="s">
        <v>100</v>
      </c>
      <c r="L11" s="301"/>
      <c r="M11" s="71"/>
      <c r="N11" s="71"/>
      <c r="O11" s="71"/>
      <c r="P11" s="71"/>
      <c r="Q11" s="71"/>
      <c r="R11" s="71"/>
      <c r="S11" s="71"/>
      <c r="T11" s="71"/>
    </row>
    <row r="12" spans="1:20" ht="22" customHeight="1" x14ac:dyDescent="0.45">
      <c r="A12" s="177" t="s">
        <v>101</v>
      </c>
      <c r="B12" s="59">
        <f ca="1">MAX(Portafolio!J6:J8)</f>
        <v>0.40155475343664293</v>
      </c>
      <c r="C12" s="178"/>
      <c r="D12" s="294" t="s">
        <v>102</v>
      </c>
      <c r="E12" s="306"/>
      <c r="F12" s="296"/>
      <c r="G12" s="146"/>
      <c r="H12" s="146"/>
      <c r="I12" s="146"/>
      <c r="J12" s="71"/>
      <c r="K12" s="158" t="s">
        <v>103</v>
      </c>
      <c r="L12" s="90">
        <f ca="1">IF(Portafolio!B18&gt;0,Portafolio!G9/Portafolio!B18,0)</f>
        <v>0.76961881623017314</v>
      </c>
      <c r="M12" s="294" t="s">
        <v>104</v>
      </c>
      <c r="N12" s="296"/>
      <c r="O12" s="71"/>
      <c r="P12" s="71"/>
      <c r="Q12" s="71"/>
      <c r="R12" s="71"/>
      <c r="S12" s="179" t="s">
        <v>105</v>
      </c>
      <c r="T12" s="179" t="s">
        <v>106</v>
      </c>
    </row>
    <row r="13" spans="1:20" ht="22" customHeight="1" x14ac:dyDescent="0.45">
      <c r="A13" s="146"/>
      <c r="B13" s="146"/>
      <c r="C13" s="146"/>
      <c r="D13" s="147" t="s">
        <v>35</v>
      </c>
      <c r="E13" s="148" t="s">
        <v>36</v>
      </c>
      <c r="F13" s="149" t="s">
        <v>31</v>
      </c>
      <c r="G13" s="146"/>
      <c r="H13" s="146"/>
      <c r="I13" s="146"/>
      <c r="J13" s="71"/>
      <c r="K13" s="158" t="s">
        <v>107</v>
      </c>
      <c r="L13" s="180">
        <f ca="1">IF(L12&gt;0,ROUND((L8-B5)/L12,0),"N/A")</f>
        <v>578</v>
      </c>
      <c r="M13" s="181" t="s">
        <v>108</v>
      </c>
      <c r="N13" s="182">
        <f ca="1">HHIReal!N4</f>
        <v>184.65694306853706</v>
      </c>
      <c r="O13" s="71"/>
      <c r="P13" s="71"/>
      <c r="Q13" s="71"/>
      <c r="R13" s="71"/>
      <c r="S13" s="71" t="s">
        <v>109</v>
      </c>
      <c r="T13" s="107">
        <f ca="1">Portafolio!E6*0.013+Portafolio!E7*0.035+Portafolio!E8*0.003</f>
        <v>9.2293264473498908</v>
      </c>
    </row>
    <row r="14" spans="1:20" ht="22" customHeight="1" x14ac:dyDescent="0.45">
      <c r="A14" s="294" t="s">
        <v>110</v>
      </c>
      <c r="B14" s="296"/>
      <c r="C14" s="146"/>
      <c r="D14" s="153" t="s">
        <v>37</v>
      </c>
      <c r="E14" s="60">
        <f ca="1">Portafolio!J6</f>
        <v>0.40155475343664293</v>
      </c>
      <c r="F14" s="61">
        <f>Portafolio!I6</f>
        <v>0.4</v>
      </c>
      <c r="G14" s="146"/>
      <c r="H14" s="146"/>
      <c r="I14" s="146"/>
      <c r="J14" s="71"/>
      <c r="K14" s="71" t="s">
        <v>111</v>
      </c>
      <c r="L14" s="89">
        <f ca="1">IF(ISNUMBER(L13),TODAY()+L13,"N/A")</f>
        <v>46755</v>
      </c>
      <c r="M14" s="183" t="s">
        <v>112</v>
      </c>
      <c r="N14" s="184" t="str">
        <f ca="1">HHIReal!N5</f>
        <v>✅ Muy Diversificado</v>
      </c>
      <c r="O14" s="71"/>
      <c r="P14" s="71"/>
      <c r="Q14" s="71"/>
      <c r="R14" s="71"/>
      <c r="S14" s="71" t="s">
        <v>113</v>
      </c>
      <c r="T14" s="108">
        <f ca="1">IF(B5&gt;0,T13/B5,0)</f>
        <v>1.6619914023469289E-2</v>
      </c>
    </row>
    <row r="15" spans="1:20" ht="22" customHeight="1" x14ac:dyDescent="0.55000000000000004">
      <c r="A15" s="185" t="s">
        <v>114</v>
      </c>
      <c r="B15" s="26">
        <v>0</v>
      </c>
      <c r="C15" s="146"/>
      <c r="D15" s="153" t="s">
        <v>38</v>
      </c>
      <c r="E15" s="60">
        <f ca="1">Portafolio!J7</f>
        <v>0.30013645278446444</v>
      </c>
      <c r="F15" s="61">
        <f>Portafolio!I7</f>
        <v>0.3</v>
      </c>
      <c r="G15" s="146"/>
      <c r="H15" s="146"/>
      <c r="I15" s="146"/>
      <c r="J15" s="71"/>
      <c r="K15" s="186" t="s">
        <v>115</v>
      </c>
      <c r="L15" s="187">
        <f ca="1">COUNTIFS(Tbla_Registros[Fecha],"&gt;="&amp;DATE(YEAR(TODAY()),MONTH(TODAY()),1),Tbla_Registros[Tipo],"Compra")</f>
        <v>3</v>
      </c>
      <c r="M15" s="71"/>
      <c r="N15" s="71"/>
      <c r="O15" s="71"/>
      <c r="P15" s="71"/>
      <c r="Q15" s="71"/>
      <c r="R15" s="71"/>
      <c r="S15" s="71"/>
      <c r="T15" s="71"/>
    </row>
    <row r="16" spans="1:20" ht="22" customHeight="1" x14ac:dyDescent="0.45">
      <c r="A16" s="146"/>
      <c r="B16" s="146"/>
      <c r="C16" s="146"/>
      <c r="D16" s="177" t="s">
        <v>39</v>
      </c>
      <c r="E16" s="62">
        <f ca="1">Portafolio!J8</f>
        <v>0.29830879377889263</v>
      </c>
      <c r="F16" s="63">
        <f>Portafolio!I8</f>
        <v>0.3</v>
      </c>
      <c r="G16" s="146"/>
      <c r="H16" s="146"/>
      <c r="I16" s="146"/>
      <c r="J16" s="71"/>
      <c r="K16" s="71"/>
      <c r="L16" s="71"/>
      <c r="M16" s="294" t="s">
        <v>116</v>
      </c>
      <c r="N16" s="296"/>
      <c r="O16" s="71"/>
      <c r="P16" s="71"/>
      <c r="Q16" s="71"/>
      <c r="R16" s="71"/>
      <c r="S16" s="71"/>
      <c r="T16" s="71"/>
    </row>
    <row r="17" spans="1:20" ht="22" customHeight="1" x14ac:dyDescent="0.45">
      <c r="A17" s="146"/>
      <c r="B17" s="146"/>
      <c r="C17" s="146"/>
      <c r="D17" s="188"/>
      <c r="E17" s="146"/>
      <c r="F17" s="146"/>
      <c r="G17" s="146"/>
      <c r="H17" s="146"/>
      <c r="I17" s="146"/>
      <c r="J17" s="71"/>
      <c r="K17" s="71"/>
      <c r="L17" s="71"/>
      <c r="M17" s="189" t="s">
        <v>117</v>
      </c>
      <c r="N17" s="155" t="s">
        <v>40</v>
      </c>
      <c r="O17" s="71"/>
      <c r="P17" s="71"/>
      <c r="Q17" s="71"/>
      <c r="R17" s="71"/>
      <c r="S17" s="71"/>
      <c r="T17" s="71"/>
    </row>
    <row r="18" spans="1:20" ht="22" customHeight="1" x14ac:dyDescent="0.45">
      <c r="A18" s="190" t="s">
        <v>118</v>
      </c>
      <c r="B18" s="191" t="s">
        <v>119</v>
      </c>
      <c r="C18" s="146"/>
      <c r="D18" s="146"/>
      <c r="E18" s="146"/>
      <c r="F18" s="146"/>
      <c r="G18" s="146"/>
      <c r="H18" s="146"/>
      <c r="I18" s="146"/>
      <c r="J18" s="71"/>
      <c r="K18" s="71"/>
      <c r="L18" s="71"/>
      <c r="M18" s="159" t="s">
        <v>120</v>
      </c>
      <c r="N18" s="192">
        <f>SUMIF('Base de Datos'!M:M,"Fintual",'Base de Datos'!I:I)</f>
        <v>453.50764500728008</v>
      </c>
      <c r="O18" s="71"/>
      <c r="P18" s="71"/>
      <c r="Q18" s="71"/>
      <c r="R18" s="71"/>
      <c r="S18" s="71"/>
      <c r="T18" s="71"/>
    </row>
    <row r="19" spans="1:20" ht="22" customHeight="1" x14ac:dyDescent="0.45">
      <c r="A19" s="193" t="s">
        <v>121</v>
      </c>
      <c r="B19" s="64">
        <f ca="1">'Base de Datos'!T8</f>
        <v>0.10820147254709674</v>
      </c>
      <c r="C19" s="146"/>
      <c r="D19" s="146"/>
      <c r="E19" s="146"/>
      <c r="F19" s="146"/>
      <c r="G19" s="146"/>
      <c r="H19" s="146"/>
      <c r="I19" s="146"/>
      <c r="J19" s="71"/>
      <c r="K19" s="71"/>
      <c r="L19" s="71"/>
      <c r="M19" s="172" t="s">
        <v>122</v>
      </c>
      <c r="N19" s="194">
        <f>SUMIF('Base de Datos'!M:M,"Webull",'Base de Datos'!I:I)</f>
        <v>57.171803699999998</v>
      </c>
      <c r="O19" s="71"/>
      <c r="P19" s="71"/>
      <c r="Q19" s="71"/>
      <c r="R19" s="71"/>
      <c r="S19" s="71"/>
      <c r="T19" s="71"/>
    </row>
    <row r="20" spans="1:20" ht="22" customHeight="1" x14ac:dyDescent="0.45">
      <c r="A20" s="193" t="s">
        <v>123</v>
      </c>
      <c r="B20" s="64">
        <f ca="1">B8</f>
        <v>8.7408826523850097E-2</v>
      </c>
      <c r="C20" s="146"/>
      <c r="D20" s="146"/>
      <c r="E20" s="146"/>
      <c r="F20" s="146"/>
      <c r="G20" s="146"/>
      <c r="H20" s="146"/>
      <c r="I20" s="146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</row>
    <row r="21" spans="1:20" ht="22" customHeight="1" x14ac:dyDescent="0.45">
      <c r="A21" s="195" t="s">
        <v>124</v>
      </c>
      <c r="B21" s="65">
        <f ca="1">B20-B19</f>
        <v>-2.0792646023246639E-2</v>
      </c>
      <c r="C21" s="146"/>
      <c r="D21" s="146"/>
      <c r="E21" s="146"/>
      <c r="F21" s="146"/>
      <c r="G21" s="146"/>
      <c r="H21" s="146"/>
      <c r="I21" s="146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 spans="1:20" ht="22" customHeight="1" x14ac:dyDescent="0.45">
      <c r="A22" s="146"/>
      <c r="B22" s="146"/>
      <c r="C22" s="146"/>
      <c r="D22" s="146"/>
      <c r="E22" s="146"/>
      <c r="F22" s="146"/>
      <c r="G22" s="146"/>
      <c r="H22" s="146"/>
      <c r="I22" s="146"/>
      <c r="J22" s="71"/>
      <c r="K22" s="71"/>
      <c r="L22" s="71"/>
      <c r="M22" s="71"/>
      <c r="N22" s="71"/>
      <c r="O22" s="71"/>
      <c r="P22" s="179" t="s">
        <v>63</v>
      </c>
      <c r="Q22" s="179" t="s">
        <v>64</v>
      </c>
      <c r="R22" s="71"/>
      <c r="S22" s="71"/>
      <c r="T22" s="71"/>
    </row>
    <row r="23" spans="1:20" ht="16.5" x14ac:dyDescent="0.45">
      <c r="A23" s="196" t="s">
        <v>125</v>
      </c>
      <c r="B23" s="196" t="s">
        <v>126</v>
      </c>
      <c r="C23" s="146"/>
      <c r="D23" s="146"/>
      <c r="E23" s="146"/>
      <c r="F23" s="146"/>
      <c r="G23" s="146"/>
      <c r="H23" s="146"/>
      <c r="I23" s="146"/>
      <c r="J23" s="71"/>
      <c r="K23" s="71"/>
      <c r="L23" s="71"/>
      <c r="M23" s="71"/>
      <c r="N23" s="71"/>
      <c r="O23" s="71"/>
      <c r="P23" s="71" t="s">
        <v>127</v>
      </c>
      <c r="Q23" s="90">
        <f ca="1">Portafolio!E9</f>
        <v>555.31734004863006</v>
      </c>
      <c r="R23" s="71"/>
      <c r="S23" s="71"/>
      <c r="T23" s="71"/>
    </row>
    <row r="24" spans="1:20" ht="16.5" x14ac:dyDescent="0.45">
      <c r="A24" s="196" t="s">
        <v>128</v>
      </c>
      <c r="B24" s="196" t="s">
        <v>129</v>
      </c>
      <c r="C24" s="146"/>
      <c r="D24" s="146"/>
      <c r="E24" s="146"/>
      <c r="F24" s="146"/>
      <c r="G24" s="146"/>
      <c r="H24" s="146"/>
      <c r="I24" s="146"/>
      <c r="J24" s="71"/>
      <c r="K24" s="71"/>
      <c r="L24" s="71"/>
      <c r="M24" s="71"/>
      <c r="N24" s="71"/>
      <c r="O24" s="71"/>
      <c r="P24" s="71" t="s">
        <v>130</v>
      </c>
      <c r="Q24" s="90">
        <f>L8</f>
        <v>1000</v>
      </c>
      <c r="R24" s="71"/>
      <c r="S24" s="71"/>
      <c r="T24" s="71"/>
    </row>
    <row r="25" spans="1:20" ht="16.5" x14ac:dyDescent="0.45">
      <c r="A25" s="27">
        <f ca="1">TODAY()</f>
        <v>46177</v>
      </c>
      <c r="B25" s="24" t="s">
        <v>131</v>
      </c>
      <c r="C25" s="146"/>
      <c r="D25" s="146"/>
      <c r="E25" s="146"/>
      <c r="F25" s="146"/>
      <c r="G25" s="146"/>
      <c r="H25" s="146"/>
      <c r="I25" s="146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</row>
    <row r="26" spans="1:20" ht="16.5" x14ac:dyDescent="0.45">
      <c r="A26" s="24"/>
      <c r="B26" s="24"/>
      <c r="C26" s="146"/>
      <c r="D26" s="146"/>
      <c r="E26" s="146"/>
      <c r="F26" s="146"/>
      <c r="G26" s="146"/>
      <c r="H26" s="146"/>
      <c r="I26" s="146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</row>
    <row r="27" spans="1:20" ht="16.5" x14ac:dyDescent="0.45">
      <c r="A27" s="24"/>
      <c r="B27" s="24"/>
      <c r="C27" s="146"/>
      <c r="D27" s="146"/>
      <c r="E27" s="146"/>
      <c r="F27" s="146"/>
      <c r="G27" s="146"/>
      <c r="H27" s="146"/>
      <c r="I27" s="146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</row>
    <row r="28" spans="1:20" ht="16.5" x14ac:dyDescent="0.45">
      <c r="A28" s="24"/>
      <c r="B28" s="24"/>
      <c r="C28" s="146"/>
      <c r="D28" s="146"/>
      <c r="E28" s="146"/>
      <c r="F28" s="146"/>
      <c r="G28" s="146"/>
      <c r="H28" s="146"/>
      <c r="I28" s="146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</row>
    <row r="29" spans="1:20" ht="16.5" x14ac:dyDescent="0.45">
      <c r="A29" s="24"/>
      <c r="B29" s="24"/>
      <c r="C29" s="146"/>
      <c r="D29" s="146"/>
      <c r="E29" s="146"/>
      <c r="F29" s="146"/>
      <c r="G29" s="146"/>
      <c r="H29" s="146"/>
      <c r="I29" s="146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</row>
    <row r="30" spans="1:20" ht="16.5" x14ac:dyDescent="0.45">
      <c r="A30" s="24"/>
      <c r="B30" s="24"/>
      <c r="C30" s="146"/>
      <c r="D30" s="146"/>
      <c r="E30" s="146"/>
      <c r="F30" s="146"/>
      <c r="G30" s="146"/>
      <c r="H30" s="146"/>
      <c r="I30" s="146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</row>
    <row r="31" spans="1:20" ht="16.5" x14ac:dyDescent="0.45">
      <c r="A31" s="24"/>
      <c r="B31" s="24"/>
      <c r="C31" s="146"/>
      <c r="D31" s="146"/>
      <c r="E31" s="146"/>
      <c r="F31" s="146"/>
      <c r="G31" s="146"/>
      <c r="H31" s="146"/>
      <c r="I31" s="146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</row>
    <row r="32" spans="1:20" ht="16.5" x14ac:dyDescent="0.45">
      <c r="A32" s="24"/>
      <c r="B32" s="24"/>
      <c r="C32" s="146"/>
      <c r="D32" s="146"/>
      <c r="E32" s="146"/>
      <c r="F32" s="146"/>
      <c r="G32" s="146"/>
      <c r="H32" s="146"/>
      <c r="I32" s="146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</row>
    <row r="33" spans="1:18" x14ac:dyDescent="0.35">
      <c r="A33" s="197"/>
      <c r="B33" s="197"/>
      <c r="C33" s="139"/>
      <c r="J33" s="140"/>
      <c r="L33" s="140"/>
      <c r="O33" s="140"/>
      <c r="R33" s="140"/>
    </row>
    <row r="34" spans="1:18" x14ac:dyDescent="0.35">
      <c r="A34" s="197"/>
      <c r="B34" s="197"/>
      <c r="C34" s="139"/>
      <c r="J34" s="140"/>
      <c r="L34" s="140"/>
      <c r="O34" s="140"/>
      <c r="R34" s="140"/>
    </row>
    <row r="35" spans="1:18" x14ac:dyDescent="0.35">
      <c r="A35" s="197"/>
      <c r="B35" s="197"/>
      <c r="C35" s="139"/>
      <c r="J35" s="140"/>
      <c r="L35" s="140"/>
      <c r="O35" s="140"/>
      <c r="R35" s="140"/>
    </row>
    <row r="36" spans="1:18" x14ac:dyDescent="0.35">
      <c r="A36" s="197"/>
      <c r="B36" s="197"/>
      <c r="C36" s="139"/>
      <c r="J36" s="140"/>
      <c r="L36" s="140"/>
      <c r="O36" s="140"/>
      <c r="R36" s="140"/>
    </row>
    <row r="37" spans="1:18" x14ac:dyDescent="0.35">
      <c r="A37" s="197"/>
      <c r="B37" s="197"/>
      <c r="C37" s="139"/>
      <c r="J37" s="140"/>
      <c r="L37" s="140"/>
      <c r="O37" s="140"/>
      <c r="R37" s="140"/>
    </row>
    <row r="38" spans="1:18" x14ac:dyDescent="0.35">
      <c r="A38" s="197"/>
      <c r="B38" s="197"/>
      <c r="C38" s="139"/>
      <c r="J38" s="140"/>
      <c r="L38" s="140"/>
      <c r="O38" s="140"/>
      <c r="R38" s="140"/>
    </row>
    <row r="39" spans="1:18" x14ac:dyDescent="0.35">
      <c r="A39" s="197"/>
      <c r="B39" s="197"/>
      <c r="C39" s="139"/>
      <c r="J39" s="140"/>
      <c r="L39" s="140"/>
      <c r="O39" s="140"/>
      <c r="R39" s="140"/>
    </row>
    <row r="40" spans="1:18" x14ac:dyDescent="0.35">
      <c r="A40" s="197"/>
      <c r="B40" s="197"/>
      <c r="C40" s="139"/>
      <c r="J40" s="140"/>
      <c r="L40" s="140"/>
      <c r="O40" s="140"/>
      <c r="R40" s="140"/>
    </row>
    <row r="41" spans="1:18" x14ac:dyDescent="0.35">
      <c r="C41" s="139"/>
      <c r="J41" s="140"/>
      <c r="L41" s="140"/>
      <c r="O41" s="140"/>
      <c r="R41" s="140"/>
    </row>
    <row r="42" spans="1:18" x14ac:dyDescent="0.35">
      <c r="C42" s="139"/>
      <c r="J42" s="140"/>
      <c r="L42" s="140"/>
      <c r="O42" s="140"/>
      <c r="R42" s="140"/>
    </row>
    <row r="43" spans="1:18" x14ac:dyDescent="0.35">
      <c r="C43" s="139"/>
      <c r="J43" s="140"/>
      <c r="L43" s="140"/>
      <c r="O43" s="140"/>
      <c r="R43" s="140"/>
    </row>
    <row r="44" spans="1:18" x14ac:dyDescent="0.35">
      <c r="C44" s="139"/>
      <c r="J44" s="140"/>
      <c r="L44" s="140"/>
      <c r="O44" s="140"/>
      <c r="R44" s="140"/>
    </row>
    <row r="45" spans="1:18" x14ac:dyDescent="0.35">
      <c r="C45" s="139"/>
      <c r="J45" s="140"/>
      <c r="L45" s="140"/>
      <c r="O45" s="140"/>
      <c r="R45" s="140"/>
    </row>
  </sheetData>
  <sheetProtection sheet="1" scenarios="1" formatCells="0" insertRows="0" deleteRows="0"/>
  <mergeCells count="14">
    <mergeCell ref="A3:B3"/>
    <mergeCell ref="D3:I3"/>
    <mergeCell ref="D12:F12"/>
    <mergeCell ref="A14:B14"/>
    <mergeCell ref="K4:L4"/>
    <mergeCell ref="K7:L7"/>
    <mergeCell ref="K5:L5"/>
    <mergeCell ref="S3:T3"/>
    <mergeCell ref="M4:N4"/>
    <mergeCell ref="M12:N12"/>
    <mergeCell ref="M16:N16"/>
    <mergeCell ref="D9:I9"/>
    <mergeCell ref="K11:L11"/>
    <mergeCell ref="E10:I10"/>
  </mergeCells>
  <conditionalFormatting sqref="B7">
    <cfRule type="cellIs" dxfId="30" priority="18" operator="greaterThan">
      <formula>32.46</formula>
    </cfRule>
    <cfRule type="cellIs" dxfId="29" priority="19" operator="greaterThan">
      <formula>32.46</formula>
    </cfRule>
  </conditionalFormatting>
  <conditionalFormatting sqref="B8">
    <cfRule type="cellIs" dxfId="28" priority="35" operator="greaterThan">
      <formula>0</formula>
    </cfRule>
  </conditionalFormatting>
  <conditionalFormatting sqref="B19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B19:B21">
    <cfRule type="cellIs" dxfId="27" priority="2" operator="lessThan">
      <formula>0</formula>
    </cfRule>
    <cfRule type="cellIs" dxfId="26" priority="3" operator="greaterThan">
      <formula>0</formula>
    </cfRule>
  </conditionalFormatting>
  <conditionalFormatting sqref="B20">
    <cfRule type="iconSet" priority="4">
      <iconSet iconSet="3Arrows">
        <cfvo type="percent" val="0"/>
        <cfvo type="num" val="0"/>
        <cfvo type="num" val="0" gte="0"/>
      </iconSet>
    </cfRule>
    <cfRule type="expression" dxfId="25" priority="27">
      <formula>B20&gt;=B19</formula>
    </cfRule>
    <cfRule type="expression" dxfId="24" priority="28">
      <formula>B20&lt;B19</formula>
    </cfRule>
  </conditionalFormatting>
  <conditionalFormatting sqref="B21">
    <cfRule type="iconSet" priority="1">
      <iconSet iconSet="3Symbols">
        <cfvo type="percent" val="0"/>
        <cfvo type="num" val="0"/>
        <cfvo type="num" val="0" gte="0"/>
      </iconSet>
    </cfRule>
    <cfRule type="expression" dxfId="23" priority="29">
      <formula>B21&gt;=0</formula>
    </cfRule>
    <cfRule type="expression" dxfId="22" priority="30">
      <formula>B21&lt;0</formula>
    </cfRule>
  </conditionalFormatting>
  <conditionalFormatting sqref="C8">
    <cfRule type="containsText" dxfId="21" priority="25" operator="containsText" text="↑">
      <formula>NOT(ISERROR(SEARCH("↑",C8)))</formula>
    </cfRule>
    <cfRule type="containsText" dxfId="20" priority="26" operator="containsText" text="↓">
      <formula>NOT(ISERROR(SEARCH("↓",C8)))</formula>
    </cfRule>
    <cfRule type="containsText" dxfId="19" priority="31" operator="containsText" text="↑">
      <formula>NOT(ISERROR(SEARCH("↑",C8)))</formula>
    </cfRule>
    <cfRule type="containsText" dxfId="18" priority="32" operator="containsText" text="↓">
      <formula>NOT(ISERROR(SEARCH("↓",C8)))</formula>
    </cfRule>
  </conditionalFormatting>
  <conditionalFormatting sqref="E10">
    <cfRule type="containsText" dxfId="17" priority="37" operator="containsText" text="NECESARIO">
      <formula>NOT(ISERROR(SEARCH("NECESARIO",E10)))</formula>
    </cfRule>
    <cfRule type="containsText" dxfId="16" priority="38" operator="containsText" text="Balanceado">
      <formula>NOT(ISERROR(SEARCH("Balanceado",E10)))</formula>
    </cfRule>
  </conditionalFormatting>
  <conditionalFormatting sqref="G5:G7">
    <cfRule type="cellIs" dxfId="15" priority="33" operator="greaterThan">
      <formula>0</formula>
    </cfRule>
    <cfRule type="cellIs" dxfId="14" priority="34" operator="lessThanOrEqual">
      <formula>0</formula>
    </cfRule>
  </conditionalFormatting>
  <conditionalFormatting sqref="N14">
    <cfRule type="containsText" dxfId="13" priority="36" operator="containsText" text="Diversificado">
      <formula>NOT(ISERROR(SEARCH("Diversificado",N14)))</formula>
    </cfRule>
  </conditionalFormatting>
  <hyperlinks>
    <hyperlink ref="A1" location="'🏠 Inicio'!A1" display="🏠 Inicio" xr:uid="{525213D1-49FA-4095-AF87-A6B8D3505BD6}"/>
    <hyperlink ref="B1" location="Portafolio!A1" display="📈 Portafolio" xr:uid="{045FACBA-A4E8-4F70-9ADE-ADC439A48C5D}"/>
    <hyperlink ref="C1" location="Dashboard!A1" display="📊 Dashboard" xr:uid="{AE506E48-CED0-46A6-90D1-C4665AB7BE3E}"/>
    <hyperlink ref="D1" location="Historial!A1" display="📉 Historial" xr:uid="{3120F3D2-266B-4128-8EDD-C07C4AB3E815}"/>
    <hyperlink ref="E1" location="'Base de Datos'!A1" display="🗃️ Base de Datos" xr:uid="{95D43866-83C8-46C7-AB5E-101CD569D899}"/>
    <hyperlink ref="F1" location="'Graficos Dashboard'!A1" display="📊 Gráficos" xr:uid="{C29A5642-A379-4663-94D2-FE705EA410C9}"/>
    <hyperlink ref="G1" location="HHIReal!A1" display="🧩 HHI Real" xr:uid="{4B0F5621-D2CF-4344-AF53-34744E4E6D0A}"/>
  </hyperlinks>
  <pageMargins left="0.7" right="0.7" top="0.75" bottom="0.75" header="0.3" footer="0.3"/>
  <pageSetup scale="59" orientation="landscape" r:id="rId1"/>
  <ignoredErrors>
    <ignoredError sqref="B21 B19" calculatedColumn="1"/>
    <ignoredError sqref="A25" unlockedFormula="1"/>
  </ignoredErrors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10F32724-20C5-4771-966A-193E939FFC4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B17C-EAA0-4504-950B-FB9066CD9069}">
  <dimension ref="A1:N60"/>
  <sheetViews>
    <sheetView showGridLines="0" zoomScaleNormal="100" zoomScaleSheetLayoutView="110" workbookViewId="0"/>
  </sheetViews>
  <sheetFormatPr baseColWidth="10" defaultColWidth="10.7265625" defaultRowHeight="14.5" x14ac:dyDescent="0.35"/>
  <cols>
    <col min="1" max="10" width="15.26953125" customWidth="1"/>
  </cols>
  <sheetData>
    <row r="1" spans="1:14" ht="24" customHeight="1" x14ac:dyDescent="0.35">
      <c r="A1" s="257" t="s">
        <v>15</v>
      </c>
      <c r="B1" s="218" t="s">
        <v>16</v>
      </c>
      <c r="C1" s="218" t="s">
        <v>17</v>
      </c>
      <c r="D1" s="218" t="s">
        <v>18</v>
      </c>
      <c r="E1" s="218" t="s">
        <v>19</v>
      </c>
      <c r="F1" s="258" t="s">
        <v>20</v>
      </c>
      <c r="G1" s="218" t="s">
        <v>21</v>
      </c>
      <c r="H1" s="212"/>
      <c r="I1" s="212"/>
      <c r="J1" s="212"/>
      <c r="K1" s="68"/>
      <c r="L1" s="68"/>
      <c r="M1" s="275"/>
      <c r="N1" s="275"/>
    </row>
    <row r="2" spans="1:14" ht="15" x14ac:dyDescent="0.4">
      <c r="A2" s="102"/>
      <c r="B2" s="102"/>
      <c r="C2" s="102"/>
      <c r="D2" s="102"/>
      <c r="E2" s="102"/>
      <c r="F2" s="102"/>
      <c r="G2" s="102"/>
      <c r="H2" s="275"/>
      <c r="I2" s="275"/>
      <c r="J2" s="275"/>
      <c r="K2" s="275"/>
      <c r="L2" s="275"/>
      <c r="M2" s="275"/>
      <c r="N2" s="275"/>
    </row>
    <row r="3" spans="1:14" ht="30" customHeight="1" x14ac:dyDescent="0.35">
      <c r="A3" s="309" t="s">
        <v>132</v>
      </c>
      <c r="B3" s="309"/>
      <c r="C3" s="309"/>
      <c r="D3" s="309"/>
      <c r="E3" s="309"/>
      <c r="F3" s="309"/>
      <c r="G3" s="309"/>
      <c r="H3" s="309"/>
      <c r="I3" s="309"/>
      <c r="J3" s="309"/>
      <c r="K3" s="275"/>
      <c r="L3" s="275"/>
      <c r="M3" s="275"/>
      <c r="N3" s="275"/>
    </row>
    <row r="4" spans="1:14" ht="16.5" hidden="1" x14ac:dyDescent="0.45">
      <c r="A4" s="310" t="s">
        <v>133</v>
      </c>
      <c r="B4" s="311"/>
      <c r="C4" s="311"/>
      <c r="D4" s="311"/>
      <c r="E4" s="311"/>
      <c r="F4" s="311"/>
      <c r="G4" s="311"/>
      <c r="H4" s="311"/>
      <c r="I4" s="209"/>
      <c r="J4" s="209"/>
      <c r="K4" s="275"/>
      <c r="L4" s="275"/>
      <c r="M4" s="275"/>
      <c r="N4" s="275"/>
    </row>
    <row r="5" spans="1:14" ht="3" customHeight="1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  <c r="K5" s="275"/>
      <c r="L5" s="275"/>
      <c r="M5" s="275"/>
      <c r="N5" s="275"/>
    </row>
    <row r="6" spans="1:14" ht="16.5" x14ac:dyDescent="0.45">
      <c r="A6" s="71"/>
      <c r="B6" s="71"/>
      <c r="C6" s="71"/>
      <c r="D6" s="71"/>
      <c r="E6" s="71"/>
      <c r="F6" s="71"/>
      <c r="G6" s="71"/>
      <c r="H6" s="71"/>
      <c r="I6" s="71"/>
      <c r="J6" s="71"/>
      <c r="K6" s="275"/>
      <c r="L6" s="275"/>
      <c r="M6" s="275"/>
      <c r="N6" s="275"/>
    </row>
    <row r="7" spans="1:14" ht="16.5" x14ac:dyDescent="0.45">
      <c r="A7" s="71"/>
      <c r="B7" s="71"/>
      <c r="C7" s="71"/>
      <c r="D7" s="71"/>
      <c r="E7" s="71"/>
      <c r="F7" s="71"/>
      <c r="G7" s="71"/>
      <c r="H7" s="71"/>
      <c r="I7" s="71"/>
      <c r="J7" s="71"/>
      <c r="K7" s="275"/>
      <c r="L7" s="275"/>
      <c r="M7" s="275"/>
      <c r="N7" s="275"/>
    </row>
    <row r="8" spans="1:14" ht="16.5" x14ac:dyDescent="0.45">
      <c r="A8" s="71"/>
      <c r="B8" s="71"/>
      <c r="C8" s="71"/>
      <c r="D8" s="71"/>
      <c r="E8" s="71"/>
      <c r="F8" s="71"/>
      <c r="G8" s="71"/>
      <c r="H8" s="71"/>
      <c r="I8" s="71"/>
      <c r="J8" s="71"/>
      <c r="K8" s="275"/>
      <c r="L8" s="275"/>
      <c r="M8" s="275"/>
      <c r="N8" s="275"/>
    </row>
    <row r="9" spans="1:14" ht="16.5" x14ac:dyDescent="0.45">
      <c r="A9" s="71"/>
      <c r="B9" s="71"/>
      <c r="C9" s="71"/>
      <c r="D9" s="71"/>
      <c r="E9" s="71"/>
      <c r="F9" s="71"/>
      <c r="G9" s="71"/>
      <c r="H9" s="71"/>
      <c r="I9" s="71"/>
      <c r="J9" s="71"/>
      <c r="K9" s="275"/>
      <c r="L9" s="275"/>
      <c r="M9" s="275"/>
      <c r="N9" s="275"/>
    </row>
    <row r="10" spans="1:14" ht="16.5" x14ac:dyDescent="0.4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275"/>
      <c r="L10" s="275"/>
      <c r="M10" s="275"/>
      <c r="N10" s="275"/>
    </row>
    <row r="11" spans="1:14" ht="16.5" x14ac:dyDescent="0.4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275"/>
      <c r="L11" s="275"/>
      <c r="M11" s="275"/>
      <c r="N11" s="275"/>
    </row>
    <row r="12" spans="1:14" ht="16.5" x14ac:dyDescent="0.4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275"/>
      <c r="L12" s="275"/>
      <c r="M12" s="275"/>
      <c r="N12" s="275"/>
    </row>
    <row r="13" spans="1:14" ht="16.5" x14ac:dyDescent="0.4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275"/>
      <c r="L13" s="275"/>
      <c r="M13" s="275"/>
      <c r="N13" s="275"/>
    </row>
    <row r="14" spans="1:14" ht="16.5" x14ac:dyDescent="0.4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275"/>
      <c r="L14" s="275"/>
      <c r="M14" s="275"/>
      <c r="N14" s="275"/>
    </row>
    <row r="15" spans="1:14" ht="16.5" x14ac:dyDescent="0.4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275"/>
      <c r="L15" s="275"/>
      <c r="M15" s="275"/>
      <c r="N15" s="275"/>
    </row>
    <row r="16" spans="1:14" ht="16.5" x14ac:dyDescent="0.4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275"/>
      <c r="L16" s="275"/>
      <c r="M16" s="275"/>
      <c r="N16" s="275"/>
    </row>
    <row r="17" spans="1:14" ht="16.5" x14ac:dyDescent="0.45">
      <c r="A17" s="179"/>
      <c r="B17" s="71"/>
      <c r="C17" s="71"/>
      <c r="D17" s="71"/>
      <c r="E17" s="71"/>
      <c r="F17" s="71"/>
      <c r="G17" s="71"/>
      <c r="H17" s="71"/>
      <c r="I17" s="71"/>
      <c r="J17" s="71"/>
      <c r="K17" s="275"/>
      <c r="L17" s="275"/>
      <c r="M17" s="275"/>
      <c r="N17" s="275"/>
    </row>
    <row r="18" spans="1:14" ht="16.5" x14ac:dyDescent="0.4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275"/>
      <c r="L18" s="275"/>
      <c r="M18" s="275"/>
      <c r="N18" s="275"/>
    </row>
    <row r="19" spans="1:14" ht="16.5" x14ac:dyDescent="0.4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275"/>
      <c r="L19" s="275"/>
      <c r="M19" s="275"/>
      <c r="N19" s="275"/>
    </row>
    <row r="20" spans="1:14" ht="16.5" x14ac:dyDescent="0.4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275"/>
      <c r="L20" s="275"/>
      <c r="M20" s="275"/>
      <c r="N20" s="275"/>
    </row>
    <row r="21" spans="1:14" ht="16.5" x14ac:dyDescent="0.45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75"/>
      <c r="L21" s="275"/>
      <c r="M21" s="275"/>
      <c r="N21" s="275"/>
    </row>
    <row r="22" spans="1:14" ht="3" customHeight="1" x14ac:dyDescent="0.4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275"/>
      <c r="L22" s="275"/>
      <c r="M22" s="275"/>
      <c r="N22" s="275"/>
    </row>
    <row r="23" spans="1:14" ht="25" customHeight="1" x14ac:dyDescent="0.4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275"/>
      <c r="L23" s="275"/>
      <c r="M23" s="275"/>
      <c r="N23" s="275"/>
    </row>
    <row r="24" spans="1:14" ht="16.5" x14ac:dyDescent="0.4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275"/>
      <c r="L24" s="275"/>
      <c r="M24" s="275"/>
      <c r="N24" s="275"/>
    </row>
    <row r="25" spans="1:14" ht="16.5" x14ac:dyDescent="0.4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275"/>
      <c r="L25" s="275"/>
      <c r="M25" s="275"/>
      <c r="N25" s="275"/>
    </row>
    <row r="26" spans="1:14" ht="16.5" x14ac:dyDescent="0.4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275"/>
      <c r="L26" s="275"/>
      <c r="M26" s="275"/>
      <c r="N26" s="275"/>
    </row>
    <row r="27" spans="1:14" ht="16.5" x14ac:dyDescent="0.4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275"/>
      <c r="L27" s="275"/>
      <c r="M27" s="275"/>
      <c r="N27" s="275"/>
    </row>
    <row r="28" spans="1:14" ht="16.5" x14ac:dyDescent="0.4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275"/>
      <c r="L28" s="275"/>
      <c r="M28" s="275"/>
      <c r="N28" s="275"/>
    </row>
    <row r="29" spans="1:14" ht="16.5" x14ac:dyDescent="0.4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275"/>
      <c r="L29" s="275"/>
      <c r="M29" s="275"/>
      <c r="N29" s="275"/>
    </row>
    <row r="30" spans="1:14" ht="21" x14ac:dyDescent="0.55000000000000004">
      <c r="A30" s="214"/>
      <c r="B30" s="71"/>
      <c r="C30" s="71"/>
      <c r="D30" s="71"/>
      <c r="E30" s="71"/>
      <c r="F30" s="71"/>
      <c r="G30" s="71"/>
      <c r="H30" s="71"/>
      <c r="I30" s="71"/>
      <c r="J30" s="71"/>
      <c r="K30" s="275"/>
      <c r="L30" s="275"/>
      <c r="M30" s="275"/>
      <c r="N30" s="275"/>
    </row>
    <row r="31" spans="1:14" ht="16.5" x14ac:dyDescent="0.4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275"/>
      <c r="L31" s="275"/>
      <c r="M31" s="275"/>
      <c r="N31" s="275"/>
    </row>
    <row r="32" spans="1:14" ht="16.5" x14ac:dyDescent="0.4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275"/>
      <c r="L32" s="275"/>
      <c r="M32" s="275"/>
      <c r="N32" s="275"/>
    </row>
    <row r="33" spans="1:14" ht="16.5" x14ac:dyDescent="0.4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275"/>
      <c r="L33" s="275"/>
      <c r="M33" s="275"/>
      <c r="N33" s="275"/>
    </row>
    <row r="34" spans="1:14" ht="16.5" x14ac:dyDescent="0.4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275"/>
      <c r="L34" s="275"/>
      <c r="M34" s="275"/>
      <c r="N34" s="275"/>
    </row>
    <row r="35" spans="1:14" ht="16.5" x14ac:dyDescent="0.4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275"/>
      <c r="L35" s="275"/>
      <c r="M35" s="275"/>
      <c r="N35" s="275"/>
    </row>
    <row r="36" spans="1:14" ht="16.5" x14ac:dyDescent="0.4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275"/>
      <c r="L36" s="275"/>
      <c r="M36" s="275"/>
      <c r="N36" s="275"/>
    </row>
    <row r="37" spans="1:14" ht="16.5" x14ac:dyDescent="0.4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275"/>
      <c r="L37" s="275"/>
      <c r="M37" s="275"/>
      <c r="N37" s="275"/>
    </row>
    <row r="38" spans="1:14" ht="16.5" x14ac:dyDescent="0.4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275"/>
      <c r="L38" s="275"/>
      <c r="M38" s="275"/>
      <c r="N38" s="275"/>
    </row>
    <row r="39" spans="1:14" ht="16.5" x14ac:dyDescent="0.4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275"/>
      <c r="L39" s="275"/>
      <c r="M39" s="275"/>
      <c r="N39" s="275"/>
    </row>
    <row r="40" spans="1:14" ht="16" x14ac:dyDescent="0.45">
      <c r="A40" s="312" t="s">
        <v>134</v>
      </c>
      <c r="B40" s="313"/>
      <c r="C40" s="313"/>
      <c r="D40" s="313"/>
      <c r="E40" s="313"/>
      <c r="F40" s="313"/>
      <c r="G40" s="313"/>
      <c r="H40" s="313"/>
      <c r="I40" s="313"/>
      <c r="J40" s="313"/>
      <c r="K40" s="275"/>
      <c r="L40" s="275"/>
      <c r="M40" s="275"/>
      <c r="N40" s="275"/>
    </row>
    <row r="41" spans="1:14" ht="16" x14ac:dyDescent="0.45">
      <c r="A41" s="278" t="s">
        <v>135</v>
      </c>
      <c r="B41" s="215">
        <f ca="1">TODAY()</f>
        <v>46177</v>
      </c>
      <c r="C41" s="216"/>
      <c r="D41" s="216"/>
      <c r="E41" s="216"/>
      <c r="F41" s="216"/>
      <c r="G41" s="216"/>
      <c r="H41" s="216"/>
      <c r="I41" s="216"/>
      <c r="J41" s="216"/>
      <c r="K41" s="275"/>
      <c r="L41" s="275"/>
      <c r="M41" s="275"/>
      <c r="N41" s="275"/>
    </row>
    <row r="42" spans="1:14" ht="16.5" x14ac:dyDescent="0.4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275"/>
      <c r="L42" s="275"/>
      <c r="M42" s="275"/>
      <c r="N42" s="275"/>
    </row>
    <row r="43" spans="1:14" ht="16.5" x14ac:dyDescent="0.4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275"/>
      <c r="L43" s="275"/>
      <c r="M43" s="275"/>
      <c r="N43" s="275"/>
    </row>
    <row r="44" spans="1:14" ht="16.5" x14ac:dyDescent="0.4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275"/>
      <c r="L44" s="275"/>
      <c r="M44" s="275"/>
      <c r="N44" s="275"/>
    </row>
    <row r="45" spans="1:14" ht="16.5" x14ac:dyDescent="0.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275"/>
      <c r="L45" s="275"/>
      <c r="M45" s="275"/>
      <c r="N45" s="275"/>
    </row>
    <row r="46" spans="1:14" ht="16.5" x14ac:dyDescent="0.4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275"/>
      <c r="L46" s="275"/>
      <c r="M46" s="275"/>
      <c r="N46" s="275"/>
    </row>
    <row r="47" spans="1:14" ht="16.5" x14ac:dyDescent="0.4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275"/>
      <c r="L47" s="275"/>
      <c r="M47" s="275"/>
      <c r="N47" s="275"/>
    </row>
    <row r="48" spans="1:14" ht="16.5" x14ac:dyDescent="0.4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275"/>
      <c r="L48" s="275"/>
      <c r="M48" s="275"/>
      <c r="N48" s="275"/>
    </row>
    <row r="49" spans="1:14" ht="16.5" x14ac:dyDescent="0.4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275"/>
      <c r="L49" s="275"/>
      <c r="M49" s="275"/>
      <c r="N49" s="275"/>
    </row>
    <row r="50" spans="1:14" ht="16.5" x14ac:dyDescent="0.4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275"/>
      <c r="L50" s="275"/>
      <c r="M50" s="275"/>
      <c r="N50" s="275"/>
    </row>
    <row r="51" spans="1:14" ht="16.5" x14ac:dyDescent="0.4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275"/>
      <c r="L51" s="275"/>
      <c r="M51" s="275"/>
      <c r="N51" s="275"/>
    </row>
    <row r="52" spans="1:14" ht="16.5" x14ac:dyDescent="0.4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275"/>
      <c r="L52" s="275"/>
      <c r="M52" s="275"/>
      <c r="N52" s="275"/>
    </row>
    <row r="53" spans="1:14" x14ac:dyDescent="0.35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</row>
    <row r="54" spans="1:14" x14ac:dyDescent="0.35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</row>
    <row r="55" spans="1:14" x14ac:dyDescent="0.3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</row>
    <row r="56" spans="1:14" x14ac:dyDescent="0.35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</row>
    <row r="57" spans="1:14" x14ac:dyDescent="0.35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</row>
    <row r="58" spans="1:14" x14ac:dyDescent="0.35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</row>
    <row r="59" spans="1:14" x14ac:dyDescent="0.35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</row>
    <row r="60" spans="1:14" x14ac:dyDescent="0.35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</row>
  </sheetData>
  <sheetProtection sheet="1" scenarios="1"/>
  <mergeCells count="3">
    <mergeCell ref="A3:J3"/>
    <mergeCell ref="A4:H4"/>
    <mergeCell ref="A40:J40"/>
  </mergeCells>
  <hyperlinks>
    <hyperlink ref="A1:L1" location="'🏠 Inicio'!A1" display="🏠 Inicio" xr:uid="{508A79C1-2862-416F-A53F-23C9144633C1}"/>
    <hyperlink ref="G1" location="HHIReal!A1" display="🧩 HHI Real" xr:uid="{3B913596-E992-4930-8BE0-7F07785D8BA9}"/>
    <hyperlink ref="E1" location="'Base de Datos'!A1" display="🗃️ Base de Datos" xr:uid="{23DB9F1B-E7F7-4192-871F-9DF1F6D4E88F}"/>
    <hyperlink ref="D1" location="Historial!A1" display="📉 Historial" xr:uid="{1C7618F7-5D3B-4FF8-AEB0-9310E56555C0}"/>
    <hyperlink ref="C1" location="Dashboard!A1" display="📊 Dashboard" xr:uid="{07805DF5-ADDC-48B5-96B2-F8470AA79151}"/>
    <hyperlink ref="B1" location="Portafolio!A1" display="📈 Portafolio" xr:uid="{C16F4EC2-9844-4872-996D-ADBA571D6B0C}"/>
  </hyperlinks>
  <pageMargins left="0.7" right="0.7" top="0.75" bottom="0.75" header="0.3" footer="0.3"/>
  <pageSetup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6BD6-0D74-4413-80CF-03B9365E6484}">
  <dimension ref="A1:Z70"/>
  <sheetViews>
    <sheetView showGridLines="0" zoomScaleNormal="100" zoomScaleSheetLayoutView="110" workbookViewId="0">
      <pane ySplit="5" topLeftCell="A17" activePane="bottomLeft" state="frozen"/>
      <selection pane="bottomLeft" activeCell="G1" sqref="G1"/>
    </sheetView>
  </sheetViews>
  <sheetFormatPr baseColWidth="10" defaultColWidth="11.453125" defaultRowHeight="15.5" x14ac:dyDescent="0.35"/>
  <cols>
    <col min="1" max="1" width="11.54296875" style="4" bestFit="1" customWidth="1"/>
    <col min="2" max="2" width="14.7265625" style="7" customWidth="1"/>
    <col min="3" max="3" width="14.1796875" style="8" customWidth="1"/>
    <col min="4" max="4" width="17.453125" style="9" customWidth="1"/>
    <col min="5" max="5" width="16.81640625" style="8" customWidth="1"/>
    <col min="6" max="6" width="14" style="10" customWidth="1"/>
    <col min="7" max="7" width="16.1796875" style="11" customWidth="1"/>
    <col min="8" max="8" width="14.453125" style="11" customWidth="1"/>
    <col min="9" max="9" width="11.54296875" style="11" bestFit="1" customWidth="1"/>
    <col min="10" max="10" width="17.54296875" style="11" customWidth="1"/>
    <col min="11" max="12" width="11.54296875" style="11" customWidth="1"/>
    <col min="13" max="13" width="11.453125" style="8" customWidth="1"/>
    <col min="14" max="14" width="4.7265625" style="5" customWidth="1"/>
    <col min="15" max="15" width="1.81640625" style="6" customWidth="1"/>
    <col min="16" max="16" width="9.54296875" style="4" customWidth="1"/>
    <col min="17" max="17" width="16.1796875" style="12" customWidth="1"/>
    <col min="18" max="18" width="14.26953125" style="4" customWidth="1"/>
    <col min="19" max="19" width="18" style="4" bestFit="1" customWidth="1"/>
    <col min="20" max="20" width="11.453125" style="4" customWidth="1"/>
    <col min="21" max="21" width="12.453125" style="4" bestFit="1" customWidth="1"/>
    <col min="22" max="22" width="12.81640625" style="4" customWidth="1"/>
    <col min="23" max="25" width="0" style="4" hidden="1" customWidth="1"/>
    <col min="26" max="16384" width="11.453125" style="4"/>
  </cols>
  <sheetData>
    <row r="1" spans="1:26" ht="24" customHeight="1" x14ac:dyDescent="0.35">
      <c r="A1" s="91" t="s">
        <v>15</v>
      </c>
      <c r="B1" s="92" t="s">
        <v>16</v>
      </c>
      <c r="C1" s="93" t="s">
        <v>17</v>
      </c>
      <c r="D1" s="93" t="s">
        <v>18</v>
      </c>
      <c r="E1" s="93" t="s">
        <v>19</v>
      </c>
      <c r="F1" s="94" t="s">
        <v>20</v>
      </c>
      <c r="G1" s="95" t="s">
        <v>21</v>
      </c>
      <c r="H1" s="96"/>
      <c r="I1" s="96"/>
      <c r="J1" s="96"/>
      <c r="K1" s="96"/>
      <c r="L1" s="96"/>
      <c r="M1" s="97"/>
      <c r="N1" s="98"/>
      <c r="O1" s="99"/>
      <c r="P1" s="100"/>
      <c r="Q1" s="101"/>
      <c r="R1" s="100"/>
      <c r="S1" s="100"/>
      <c r="T1" s="100"/>
      <c r="U1" s="100"/>
      <c r="V1" s="100"/>
      <c r="W1" s="100"/>
      <c r="X1" s="100"/>
      <c r="Y1" s="100"/>
      <c r="Z1" s="4" t="s">
        <v>4</v>
      </c>
    </row>
    <row r="2" spans="1:26" ht="16" x14ac:dyDescent="0.4">
      <c r="A2" s="102"/>
      <c r="B2" s="102"/>
      <c r="C2" s="102"/>
      <c r="D2" s="102"/>
      <c r="E2" s="102"/>
      <c r="F2" s="102"/>
      <c r="G2" s="102"/>
      <c r="H2" s="96"/>
      <c r="I2" s="96"/>
      <c r="J2" s="96"/>
      <c r="K2" s="96"/>
      <c r="L2" s="96"/>
      <c r="M2" s="97"/>
      <c r="N2" s="98"/>
      <c r="O2" s="99"/>
      <c r="P2" s="100"/>
      <c r="Q2" s="101"/>
      <c r="R2" s="100"/>
      <c r="S2" s="100"/>
      <c r="T2" s="100"/>
      <c r="U2" s="100"/>
      <c r="V2" s="100"/>
      <c r="W2" s="100"/>
      <c r="X2" s="100"/>
      <c r="Y2" s="100"/>
    </row>
    <row r="3" spans="1:26" ht="24" customHeight="1" x14ac:dyDescent="0.45">
      <c r="A3" s="279" t="s">
        <v>136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71"/>
      <c r="O3" s="71"/>
      <c r="P3" s="279" t="s">
        <v>137</v>
      </c>
      <c r="Q3" s="280"/>
      <c r="R3" s="280"/>
      <c r="S3" s="280"/>
      <c r="T3" s="280"/>
      <c r="U3" s="280"/>
      <c r="V3" s="280"/>
      <c r="W3" s="71"/>
      <c r="X3" s="103"/>
      <c r="Y3" s="103"/>
      <c r="Z3" s="4" t="s">
        <v>138</v>
      </c>
    </row>
    <row r="4" spans="1:26" ht="17.5" x14ac:dyDescent="0.45">
      <c r="A4" s="281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71"/>
      <c r="O4" s="71"/>
      <c r="P4" s="104" t="s">
        <v>82</v>
      </c>
      <c r="Q4" s="104" t="s">
        <v>139</v>
      </c>
      <c r="R4" s="104" t="s">
        <v>34</v>
      </c>
      <c r="S4" s="104" t="s">
        <v>140</v>
      </c>
      <c r="T4" s="104" t="s">
        <v>119</v>
      </c>
      <c r="U4" s="104" t="s">
        <v>141</v>
      </c>
      <c r="V4" s="104" t="s">
        <v>142</v>
      </c>
      <c r="W4" s="263" t="s">
        <v>143</v>
      </c>
      <c r="X4" s="105"/>
      <c r="Y4" s="105"/>
      <c r="Z4" s="4" t="s">
        <v>144</v>
      </c>
    </row>
    <row r="5" spans="1:26" ht="24.75" customHeight="1" x14ac:dyDescent="0.45">
      <c r="A5" s="106" t="s">
        <v>145</v>
      </c>
      <c r="B5" s="260" t="s">
        <v>128</v>
      </c>
      <c r="C5" s="106" t="s">
        <v>82</v>
      </c>
      <c r="D5" s="106" t="s">
        <v>35</v>
      </c>
      <c r="E5" s="106" t="s">
        <v>146</v>
      </c>
      <c r="F5" s="261" t="s">
        <v>26</v>
      </c>
      <c r="G5" s="262" t="s">
        <v>147</v>
      </c>
      <c r="H5" s="262" t="s">
        <v>148</v>
      </c>
      <c r="I5" s="262" t="s">
        <v>40</v>
      </c>
      <c r="J5" s="262" t="s">
        <v>30</v>
      </c>
      <c r="K5" s="262" t="s">
        <v>149</v>
      </c>
      <c r="L5" s="262" t="s">
        <v>150</v>
      </c>
      <c r="M5" s="106" t="s">
        <v>117</v>
      </c>
      <c r="N5" s="71"/>
      <c r="O5" s="71"/>
      <c r="P5" s="71" t="s">
        <v>37</v>
      </c>
      <c r="Q5" s="107" cm="1">
        <f t="array" aca="1" ref="Q5" ca="1">_FV(W5,"Precio")</f>
        <v>89.11</v>
      </c>
      <c r="R5" s="108" cm="1">
        <f t="array" aca="1" ref="R5" ca="1">_FV(W5,"Cambio (%)",TRUE)</f>
        <v>3.3779999999999999E-3</v>
      </c>
      <c r="S5" s="90">
        <v>80.39</v>
      </c>
      <c r="T5" s="38">
        <f ca="1">(Q5-S5)/S5</f>
        <v>0.10847120288593107</v>
      </c>
      <c r="U5" s="108">
        <f ca="1">(Q5-X5)/X5</f>
        <v>0.82154538021259194</v>
      </c>
      <c r="V5" s="38">
        <f ca="1">(Q5-Y5)/Y5</f>
        <v>2.6898550724637684</v>
      </c>
      <c r="W5" s="109" t="e" vm="1">
        <v>#VALUE!</v>
      </c>
      <c r="X5" s="103">
        <v>48.92</v>
      </c>
      <c r="Y5" s="103">
        <v>24.15</v>
      </c>
      <c r="Z5" s="4" t="s">
        <v>151</v>
      </c>
    </row>
    <row r="6" spans="1:26" ht="17.5" x14ac:dyDescent="0.45">
      <c r="A6" s="28">
        <f t="shared" ref="A6:A26" si="0">ROW()-ROW($A$6)+1</f>
        <v>1</v>
      </c>
      <c r="B6" s="29">
        <v>46119</v>
      </c>
      <c r="C6" s="30" t="s">
        <v>37</v>
      </c>
      <c r="D6" s="31" t="str">
        <f>IF(Tbla_Registros[[#This Row],[Ticker]]="","",_xlfn.XLOOKUP(Tbla_Registros[[#This Row],[Ticker]],$P$14:$P$19,$Q$14:$Q$19,Tbla_Registros[[#This Row],[Ticker]]))</f>
        <v>SPDR S&amp;P 500</v>
      </c>
      <c r="E6" s="30" t="s">
        <v>152</v>
      </c>
      <c r="F6" s="32">
        <v>1.168629801</v>
      </c>
      <c r="G6" s="33">
        <v>76.75</v>
      </c>
      <c r="H6" s="33">
        <v>0</v>
      </c>
      <c r="I6" s="33">
        <f>Tbla_Registros[[#This Row],[Cantidad]] * Tbla_Registros[[#This Row],[Precio]] + Tbla_Registros[[#This Row],[Comisión]]</f>
        <v>89.692337226749999</v>
      </c>
      <c r="J6" s="23">
        <f ca="1">IF(C6="","",IFERROR((VLOOKUP(C6,Portafolio!$A$6:$C$8,3,FALSE)-G6)/G6,""))</f>
        <v>0.16104234527687294</v>
      </c>
      <c r="K6" s="121">
        <f ca="1">IF(B6="","",TODAY()-B6)</f>
        <v>58</v>
      </c>
      <c r="L6" s="22">
        <f ca="1">IFERROR((VLOOKUP(C6,Portafolio!$A$6:$C$8,3,FALSE)-G6)*F6,"")</f>
        <v>14.44426434036</v>
      </c>
      <c r="M6" s="34" t="s">
        <v>120</v>
      </c>
      <c r="N6" s="71"/>
      <c r="O6" s="71"/>
      <c r="P6" s="71" t="s">
        <v>38</v>
      </c>
      <c r="Q6" s="107" cm="1">
        <f t="array" aca="1" ref="Q6" ca="1">_FV(W6,"Precio")</f>
        <v>32.590000000000003</v>
      </c>
      <c r="R6" s="108" cm="1">
        <f t="array" aca="1" ref="R6" ca="1">_FV(W6,"Cambio (%)",TRUE)</f>
        <v>6.796E-3</v>
      </c>
      <c r="S6" s="90">
        <v>27.73</v>
      </c>
      <c r="T6" s="38">
        <f t="shared" ref="T6:T10" ca="1" si="1">(Q6-S6)/S6</f>
        <v>0.17526144969347288</v>
      </c>
      <c r="U6" s="108">
        <f t="shared" ref="U6:U10" ca="1" si="2">(Q6-X6)/X6</f>
        <v>0.27304687500000008</v>
      </c>
      <c r="V6" s="38">
        <f t="shared" ref="V6:V10" ca="1" si="3">(Q6-Y6)/Y6</f>
        <v>1.4559155990957049</v>
      </c>
      <c r="W6" s="109" t="e" vm="2">
        <v>#VALUE!</v>
      </c>
      <c r="X6" s="103">
        <v>25.6</v>
      </c>
      <c r="Y6" s="103">
        <v>13.27</v>
      </c>
      <c r="Z6" s="4" t="s">
        <v>153</v>
      </c>
    </row>
    <row r="7" spans="1:26" ht="17.5" x14ac:dyDescent="0.45">
      <c r="A7" s="28">
        <f t="shared" si="0"/>
        <v>2</v>
      </c>
      <c r="B7" s="29">
        <v>46119</v>
      </c>
      <c r="C7" s="30" t="s">
        <v>38</v>
      </c>
      <c r="D7" s="31" t="str">
        <f>IF(Tbla_Registros[[#This Row],[Ticker]]="","",_xlfn.XLOOKUP(Tbla_Registros[[#This Row],[Ticker]],$P$14:$P$19,$Q$14:$Q$19,Tbla_Registros[[#This Row],[Ticker]]))</f>
        <v>Schwab Dividend</v>
      </c>
      <c r="E7" s="30" t="s">
        <v>152</v>
      </c>
      <c r="F7" s="32">
        <v>1</v>
      </c>
      <c r="G7" s="33">
        <v>30.59</v>
      </c>
      <c r="H7" s="33">
        <v>0</v>
      </c>
      <c r="I7" s="33">
        <f>Tbla_Registros[[#This Row],[Cantidad]] * Tbla_Registros[[#This Row],[Precio]] + Tbla_Registros[[#This Row],[Comisión]]</f>
        <v>30.59</v>
      </c>
      <c r="J7" s="23">
        <f ca="1">IF(C7="","",IFERROR((VLOOKUP(C7,Portafolio!$A$6:$C$8,3,FALSE)-G7)/G7,""))</f>
        <v>6.5380843412880141E-2</v>
      </c>
      <c r="K7" s="121">
        <f t="shared" ref="K7:K26" ca="1" si="4">IF(B7="","",TODAY()-B7)</f>
        <v>58</v>
      </c>
      <c r="L7" s="22">
        <f ca="1">IFERROR((VLOOKUP(C7,Portafolio!$A$6:$C$8,3,FALSE)-G7)*F7,"")</f>
        <v>2.0000000000000036</v>
      </c>
      <c r="M7" s="34" t="s">
        <v>120</v>
      </c>
      <c r="N7" s="71"/>
      <c r="O7" s="71"/>
      <c r="P7" s="71" t="s">
        <v>39</v>
      </c>
      <c r="Q7" s="107" cm="1">
        <f t="array" aca="1" ref="Q7" ca="1">_FV(W7,"Precio")</f>
        <v>34.79</v>
      </c>
      <c r="R7" s="108" cm="1">
        <f t="array" aca="1" ref="R7" ca="1">_FV(W7,"Cambio (%)",TRUE)</f>
        <v>3.4610000000000001E-3</v>
      </c>
      <c r="S7" s="90">
        <v>32.5</v>
      </c>
      <c r="T7" s="38">
        <f t="shared" ca="1" si="1"/>
        <v>7.0461538461538437E-2</v>
      </c>
      <c r="U7" s="108">
        <f t="shared" ca="1" si="2"/>
        <v>1.0671420083184791</v>
      </c>
      <c r="V7" s="38">
        <f t="shared" ca="1" si="3"/>
        <v>4.3523076923076918</v>
      </c>
      <c r="W7" s="109" t="e" vm="3">
        <v>#VALUE!</v>
      </c>
      <c r="X7" s="103">
        <v>16.829999999999998</v>
      </c>
      <c r="Y7" s="103">
        <v>6.5</v>
      </c>
      <c r="Z7" s="4" t="s">
        <v>154</v>
      </c>
    </row>
    <row r="8" spans="1:26" ht="17.5" x14ac:dyDescent="0.45">
      <c r="A8" s="28">
        <f t="shared" si="0"/>
        <v>3</v>
      </c>
      <c r="B8" s="29">
        <v>46119</v>
      </c>
      <c r="C8" s="30" t="s">
        <v>38</v>
      </c>
      <c r="D8" s="31" t="str">
        <f>IF(Tbla_Registros[[#This Row],[Ticker]]="","",_xlfn.XLOOKUP(Tbla_Registros[[#This Row],[Ticker]],$P$14:$P$19,$Q$14:$Q$19,Tbla_Registros[[#This Row],[Ticker]]))</f>
        <v>Schwab Dividend</v>
      </c>
      <c r="E8" s="30" t="s">
        <v>152</v>
      </c>
      <c r="F8" s="32">
        <v>1.198107872</v>
      </c>
      <c r="G8" s="33">
        <v>30.59</v>
      </c>
      <c r="H8" s="33">
        <v>0</v>
      </c>
      <c r="I8" s="33">
        <f>Tbla_Registros[[#This Row],[Cantidad]] * Tbla_Registros[[#This Row],[Precio]] + Tbla_Registros[[#This Row],[Comisión]]</f>
        <v>36.650119804479999</v>
      </c>
      <c r="J8" s="23">
        <f ca="1">IF(C8="","",IFERROR((VLOOKUP(C8,Portafolio!$A$6:$C$8,3,FALSE)-G8)/G8,""))</f>
        <v>6.5380843412880141E-2</v>
      </c>
      <c r="K8" s="121">
        <f t="shared" ca="1" si="4"/>
        <v>58</v>
      </c>
      <c r="L8" s="22">
        <f ca="1">IFERROR((VLOOKUP(C8,Portafolio!$A$6:$C$8,3,FALSE)-G8)*F8,"")</f>
        <v>2.3962157440000045</v>
      </c>
      <c r="M8" s="34" t="s">
        <v>120</v>
      </c>
      <c r="N8" s="71"/>
      <c r="O8" s="71"/>
      <c r="P8" s="71" t="s">
        <v>155</v>
      </c>
      <c r="Q8" s="107" cm="1">
        <f t="array" aca="1" ref="Q8" ca="1">_FV(W8,"Precio")</f>
        <v>757.09</v>
      </c>
      <c r="R8" s="108" cm="1">
        <f t="array" aca="1" ref="R8" ca="1">_FV(W8,"Cambio (%)",TRUE)</f>
        <v>3.7790000000000002E-3</v>
      </c>
      <c r="S8" s="90">
        <v>683.17</v>
      </c>
      <c r="T8" s="38">
        <f t="shared" ca="1" si="1"/>
        <v>0.10820147254709674</v>
      </c>
      <c r="U8" s="108">
        <f t="shared" ca="1" si="2"/>
        <v>0.82457704728394476</v>
      </c>
      <c r="V8" s="38">
        <f t="shared" ca="1" si="3"/>
        <v>2.6843155384690252</v>
      </c>
      <c r="W8" s="109" t="e" vm="4">
        <v>#VALUE!</v>
      </c>
      <c r="X8" s="103">
        <v>414.94</v>
      </c>
      <c r="Y8" s="103">
        <v>205.49</v>
      </c>
      <c r="Z8" s="4" t="s">
        <v>156</v>
      </c>
    </row>
    <row r="9" spans="1:26" ht="17.5" x14ac:dyDescent="0.45">
      <c r="A9" s="28">
        <f t="shared" si="0"/>
        <v>4</v>
      </c>
      <c r="B9" s="29">
        <v>46119</v>
      </c>
      <c r="C9" s="30" t="s">
        <v>39</v>
      </c>
      <c r="D9" s="31" t="str">
        <f>IF(Tbla_Registros[[#This Row],[Ticker]]="","",_xlfn.XLOOKUP(Tbla_Registros[[#This Row],[Ticker]],$P$14:$P$19,$Q$14:$Q$19,Tbla_Registros[[#This Row],[Ticker]]))</f>
        <v>Schwab Growth</v>
      </c>
      <c r="E9" s="30" t="s">
        <v>152</v>
      </c>
      <c r="F9" s="32">
        <v>1</v>
      </c>
      <c r="G9" s="33">
        <v>29.09</v>
      </c>
      <c r="H9" s="33">
        <v>0</v>
      </c>
      <c r="I9" s="33">
        <f>Tbla_Registros[[#This Row],[Cantidad]] * Tbla_Registros[[#This Row],[Precio]] + Tbla_Registros[[#This Row],[Comisión]]</f>
        <v>29.09</v>
      </c>
      <c r="J9" s="23">
        <f ca="1">IF(C9="","",IFERROR((VLOOKUP(C9,Portafolio!$A$6:$C$8,3,FALSE)-G9)/G9,""))</f>
        <v>0.19594362323822617</v>
      </c>
      <c r="K9" s="121">
        <f t="shared" ca="1" si="4"/>
        <v>58</v>
      </c>
      <c r="L9" s="22">
        <f ca="1">IFERROR((VLOOKUP(C9,Portafolio!$A$6:$C$8,3,FALSE)-G9)*F9,"")</f>
        <v>5.6999999999999993</v>
      </c>
      <c r="M9" s="34" t="s">
        <v>120</v>
      </c>
      <c r="N9" s="71"/>
      <c r="O9" s="71"/>
      <c r="P9" s="71" t="s">
        <v>157</v>
      </c>
      <c r="Q9" s="107" cm="1">
        <f t="array" aca="1" ref="Q9" ca="1">_FV(W9,"Precio")</f>
        <v>740.61</v>
      </c>
      <c r="R9" s="108" cm="1">
        <f t="array" aca="1" ref="R9" ca="1">_FV(W9,"Cambio (%)",TRUE)</f>
        <v>-4.8370000000000002E-3</v>
      </c>
      <c r="S9" s="90">
        <v>613.12</v>
      </c>
      <c r="T9" s="38">
        <f t="shared" ca="1" si="1"/>
        <v>0.20793645615866391</v>
      </c>
      <c r="U9" s="108">
        <f t="shared" ca="1" si="2"/>
        <v>1.2647931255924896</v>
      </c>
      <c r="V9" s="38">
        <f t="shared" ca="1" si="3"/>
        <v>5.9560439560439562</v>
      </c>
      <c r="W9" s="109" t="e" vm="5">
        <v>#VALUE!</v>
      </c>
      <c r="X9" s="103">
        <v>327.01</v>
      </c>
      <c r="Y9" s="103">
        <v>106.47</v>
      </c>
      <c r="Z9" s="4" t="s">
        <v>158</v>
      </c>
    </row>
    <row r="10" spans="1:26" ht="17.5" x14ac:dyDescent="0.45">
      <c r="A10" s="28">
        <f t="shared" si="0"/>
        <v>5</v>
      </c>
      <c r="B10" s="29">
        <v>46119</v>
      </c>
      <c r="C10" s="30" t="s">
        <v>39</v>
      </c>
      <c r="D10" s="31" t="str">
        <f>IF(Tbla_Registros[[#This Row],[Ticker]]="","",_xlfn.XLOOKUP(Tbla_Registros[[#This Row],[Ticker]],$P$14:$P$19,$Q$14:$Q$19,Tbla_Registros[[#This Row],[Ticker]]))</f>
        <v>Schwab Growth</v>
      </c>
      <c r="E10" s="30" t="s">
        <v>152</v>
      </c>
      <c r="F10" s="32">
        <v>1.313310505</v>
      </c>
      <c r="G10" s="33">
        <v>29.09</v>
      </c>
      <c r="H10" s="33">
        <v>0</v>
      </c>
      <c r="I10" s="33">
        <f>Tbla_Registros[[#This Row],[Cantidad]] * Tbla_Registros[[#This Row],[Precio]] + Tbla_Registros[[#This Row],[Comisión]]</f>
        <v>38.204202590450002</v>
      </c>
      <c r="J10" s="23">
        <f ca="1">IF(C10="","",IFERROR((VLOOKUP(C10,Portafolio!$A$6:$C$8,3,FALSE)-G10)/G10,""))</f>
        <v>0.19594362323822617</v>
      </c>
      <c r="K10" s="121">
        <f t="shared" ca="1" si="4"/>
        <v>58</v>
      </c>
      <c r="L10" s="22">
        <f ca="1">IFERROR((VLOOKUP(C10,Portafolio!$A$6:$C$8,3,FALSE)-G10)*F10,"")</f>
        <v>7.4858698784999991</v>
      </c>
      <c r="M10" s="34" t="s">
        <v>120</v>
      </c>
      <c r="N10" s="113"/>
      <c r="O10" s="71"/>
      <c r="P10" s="71" t="s">
        <v>159</v>
      </c>
      <c r="Q10" s="107" cm="1">
        <f t="array" aca="1" ref="Q10" ca="1">_FV(W10,"Precio")</f>
        <v>73.16</v>
      </c>
      <c r="R10" s="108" cm="1">
        <f t="array" aca="1" ref="R10" ca="1">_FV(W10,"Cambio (%)",TRUE)</f>
        <v>1.369E-3</v>
      </c>
      <c r="S10" s="90">
        <v>74.040000000000006</v>
      </c>
      <c r="T10" s="38">
        <f t="shared" ca="1" si="1"/>
        <v>-1.1885467314965013E-2</v>
      </c>
      <c r="U10" s="108">
        <f t="shared" ca="1" si="2"/>
        <v>-0.14030552291421855</v>
      </c>
      <c r="V10" s="38">
        <f t="shared" ca="1" si="3"/>
        <v>-0.12383233532934136</v>
      </c>
      <c r="W10" s="109" t="e" vm="6">
        <v>#VALUE!</v>
      </c>
      <c r="X10" s="103">
        <v>85.1</v>
      </c>
      <c r="Y10" s="103">
        <v>83.5</v>
      </c>
      <c r="Z10" s="4" t="s">
        <v>160</v>
      </c>
    </row>
    <row r="11" spans="1:26" ht="17.5" x14ac:dyDescent="0.45">
      <c r="A11" s="28">
        <f t="shared" si="0"/>
        <v>6</v>
      </c>
      <c r="B11" s="29">
        <v>46127</v>
      </c>
      <c r="C11" s="30" t="s">
        <v>38</v>
      </c>
      <c r="D11" s="31" t="str">
        <f>IF(Tbla_Registros[[#This Row],[Ticker]]="","",_xlfn.XLOOKUP(Tbla_Registros[[#This Row],[Ticker]],$P$14:$P$19,$Q$14:$Q$19,Tbla_Registros[[#This Row],[Ticker]]))</f>
        <v>Schwab Dividend</v>
      </c>
      <c r="E11" s="30" t="s">
        <v>152</v>
      </c>
      <c r="F11" s="32">
        <v>0.68844122799999996</v>
      </c>
      <c r="G11" s="33">
        <v>30.68</v>
      </c>
      <c r="H11" s="33">
        <v>0</v>
      </c>
      <c r="I11" s="33">
        <f>Tbla_Registros[[#This Row],[Cantidad]] * Tbla_Registros[[#This Row],[Precio]] + Tbla_Registros[[#This Row],[Comisión]]</f>
        <v>21.121376875039999</v>
      </c>
      <c r="J11" s="23">
        <f ca="1">IF(C11="","",IFERROR((VLOOKUP(C11,Portafolio!$A$6:$C$8,3,FALSE)-G11)/G11,""))</f>
        <v>6.2255541069100515E-2</v>
      </c>
      <c r="K11" s="121">
        <f t="shared" ca="1" si="4"/>
        <v>50</v>
      </c>
      <c r="L11" s="22">
        <f ca="1">IFERROR((VLOOKUP(C11,Portafolio!$A$6:$C$8,3,FALSE)-G11)*F11,"")</f>
        <v>1.3149227454800025</v>
      </c>
      <c r="M11" s="34" t="s">
        <v>120</v>
      </c>
      <c r="N11" s="113"/>
      <c r="O11" s="71"/>
      <c r="P11" s="86"/>
      <c r="Q11" s="71"/>
      <c r="R11" s="71"/>
      <c r="S11" s="71"/>
      <c r="T11" s="71"/>
      <c r="U11" s="71"/>
      <c r="V11" s="71"/>
      <c r="W11" s="71"/>
      <c r="X11" s="103"/>
      <c r="Y11" s="103"/>
      <c r="Z11" s="4" t="s">
        <v>161</v>
      </c>
    </row>
    <row r="12" spans="1:26" ht="17.5" x14ac:dyDescent="0.45">
      <c r="A12" s="28">
        <f t="shared" si="0"/>
        <v>7</v>
      </c>
      <c r="B12" s="29">
        <v>46127</v>
      </c>
      <c r="C12" s="30" t="s">
        <v>39</v>
      </c>
      <c r="D12" s="31" t="str">
        <f>IF(Tbla_Registros[[#This Row],[Ticker]]="","",_xlfn.XLOOKUP(Tbla_Registros[[#This Row],[Ticker]],$P$14:$P$19,$Q$14:$Q$19,Tbla_Registros[[#This Row],[Ticker]]))</f>
        <v>Schwab Growth</v>
      </c>
      <c r="E12" s="30" t="s">
        <v>152</v>
      </c>
      <c r="F12" s="32">
        <v>0.45307039399999999</v>
      </c>
      <c r="G12" s="33">
        <v>32.049999999999997</v>
      </c>
      <c r="H12" s="33">
        <v>0</v>
      </c>
      <c r="I12" s="33">
        <f>Tbla_Registros[[#This Row],[Cantidad]] * Tbla_Registros[[#This Row],[Precio]] + Tbla_Registros[[#This Row],[Comisión]]</f>
        <v>14.520906127699998</v>
      </c>
      <c r="J12" s="23">
        <f ca="1">IF(C12="","",IFERROR((VLOOKUP(C12,Portafolio!$A$6:$C$8,3,FALSE)-G12)/G12,""))</f>
        <v>8.5491419656786347E-2</v>
      </c>
      <c r="K12" s="121">
        <f t="shared" ca="1" si="4"/>
        <v>50</v>
      </c>
      <c r="L12" s="22">
        <f ca="1">IFERROR((VLOOKUP(C12,Portafolio!$A$6:$C$8,3,FALSE)-G12)*F12,"")</f>
        <v>1.2414128795600008</v>
      </c>
      <c r="M12" s="34" t="s">
        <v>120</v>
      </c>
      <c r="N12" s="113"/>
      <c r="O12" s="71"/>
      <c r="P12" s="109"/>
      <c r="Q12" s="71"/>
      <c r="R12" s="71"/>
      <c r="S12" s="71"/>
      <c r="T12" s="71"/>
      <c r="U12" s="71"/>
      <c r="V12" s="71"/>
      <c r="W12" s="71"/>
      <c r="X12" s="103"/>
      <c r="Y12" s="103"/>
      <c r="Z12" s="4" t="s">
        <v>162</v>
      </c>
    </row>
    <row r="13" spans="1:26" ht="35" x14ac:dyDescent="0.45">
      <c r="A13" s="28">
        <f t="shared" si="0"/>
        <v>8</v>
      </c>
      <c r="B13" s="29">
        <v>46127</v>
      </c>
      <c r="C13" s="30" t="s">
        <v>37</v>
      </c>
      <c r="D13" s="31" t="str">
        <f>IF(Tbla_Registros[[#This Row],[Ticker]]="","",_xlfn.XLOOKUP(Tbla_Registros[[#This Row],[Ticker]],$P$14:$P$19,$Q$14:$Q$19,Tbla_Registros[[#This Row],[Ticker]]))</f>
        <v>SPDR S&amp;P 500</v>
      </c>
      <c r="E13" s="30" t="s">
        <v>152</v>
      </c>
      <c r="F13" s="32">
        <v>0.26735368399999998</v>
      </c>
      <c r="G13" s="33">
        <v>82.29</v>
      </c>
      <c r="H13" s="33">
        <v>0</v>
      </c>
      <c r="I13" s="33">
        <f>Tbla_Registros[[#This Row],[Cantidad]] * Tbla_Registros[[#This Row],[Precio]] + Tbla_Registros[[#This Row],[Comisión]]</f>
        <v>22.000534656359999</v>
      </c>
      <c r="J13" s="23">
        <f ca="1">IF(C13="","",IFERROR((VLOOKUP(C13,Portafolio!$A$6:$C$8,3,FALSE)-G13)/G13,""))</f>
        <v>8.2877627901324497E-2</v>
      </c>
      <c r="K13" s="121">
        <f t="shared" ca="1" si="4"/>
        <v>50</v>
      </c>
      <c r="L13" s="22">
        <f ca="1">IFERROR((VLOOKUP(C13,Portafolio!$A$6:$C$8,3,FALSE)-G13)*F13,"")</f>
        <v>1.823352124879998</v>
      </c>
      <c r="M13" s="34" t="s">
        <v>120</v>
      </c>
      <c r="N13" s="113"/>
      <c r="O13" s="114"/>
      <c r="P13" s="115" t="s">
        <v>82</v>
      </c>
      <c r="Q13" s="116" t="s">
        <v>163</v>
      </c>
      <c r="R13" s="103"/>
      <c r="S13" s="103"/>
      <c r="T13" s="103"/>
      <c r="U13" s="103"/>
      <c r="V13" s="103"/>
      <c r="W13" s="103"/>
      <c r="X13" s="103"/>
      <c r="Y13" s="103"/>
      <c r="Z13" s="4" t="s">
        <v>164</v>
      </c>
    </row>
    <row r="14" spans="1:26" ht="17.5" x14ac:dyDescent="0.45">
      <c r="A14" s="28">
        <f t="shared" si="0"/>
        <v>9</v>
      </c>
      <c r="B14" s="29">
        <v>46128</v>
      </c>
      <c r="C14" s="30" t="s">
        <v>38</v>
      </c>
      <c r="D14" s="31" t="str">
        <f>IF(Tbla_Registros[[#This Row],[Ticker]]="","",_xlfn.XLOOKUP(Tbla_Registros[[#This Row],[Ticker]],$P$14:$P$19,$Q$14:$Q$19,Tbla_Registros[[#This Row],[Ticker]]))</f>
        <v>Schwab Dividend</v>
      </c>
      <c r="E14" s="30" t="s">
        <v>152</v>
      </c>
      <c r="F14" s="32">
        <v>0.56204948300000002</v>
      </c>
      <c r="G14" s="33">
        <v>30.8</v>
      </c>
      <c r="H14" s="33">
        <v>0</v>
      </c>
      <c r="I14" s="33">
        <f>Tbla_Registros[[#This Row],[Cantidad]] * Tbla_Registros[[#This Row],[Precio]] + Tbla_Registros[[#This Row],[Comisión]]</f>
        <v>17.311124076400002</v>
      </c>
      <c r="J14" s="23">
        <f ca="1">IF(C14="","",IFERROR((VLOOKUP(C14,Portafolio!$A$6:$C$8,3,FALSE)-G14)/G14,""))</f>
        <v>5.8116883116883206E-2</v>
      </c>
      <c r="K14" s="121">
        <f t="shared" ca="1" si="4"/>
        <v>49</v>
      </c>
      <c r="L14" s="22">
        <f ca="1">IFERROR((VLOOKUP(C14,Portafolio!$A$6:$C$8,3,FALSE)-G14)*F14,"")</f>
        <v>1.0060685745700015</v>
      </c>
      <c r="M14" s="34" t="s">
        <v>120</v>
      </c>
      <c r="N14" s="113"/>
      <c r="O14" s="114"/>
      <c r="P14" s="109" t="s">
        <v>37</v>
      </c>
      <c r="Q14" s="117" t="s">
        <v>165</v>
      </c>
      <c r="R14" s="103"/>
      <c r="S14" s="103"/>
      <c r="T14" s="103"/>
      <c r="U14" s="103"/>
      <c r="V14" s="103"/>
      <c r="W14" s="103"/>
      <c r="X14" s="103"/>
      <c r="Y14" s="103"/>
      <c r="Z14" s="4" t="s">
        <v>166</v>
      </c>
    </row>
    <row r="15" spans="1:26" ht="35" x14ac:dyDescent="0.45">
      <c r="A15" s="28">
        <f t="shared" si="0"/>
        <v>10</v>
      </c>
      <c r="B15" s="29">
        <v>46128</v>
      </c>
      <c r="C15" s="30" t="s">
        <v>39</v>
      </c>
      <c r="D15" s="31" t="str">
        <f>IF(Tbla_Registros[[#This Row],[Ticker]]="","",_xlfn.XLOOKUP(Tbla_Registros[[#This Row],[Ticker]],$P$14:$P$19,$Q$14:$Q$19,Tbla_Registros[[#This Row],[Ticker]]))</f>
        <v>Schwab Growth</v>
      </c>
      <c r="E15" s="30" t="s">
        <v>152</v>
      </c>
      <c r="F15" s="32">
        <v>0.53610299100000003</v>
      </c>
      <c r="G15" s="33">
        <v>32.159999999999997</v>
      </c>
      <c r="H15" s="33">
        <v>0</v>
      </c>
      <c r="I15" s="33">
        <f>Tbla_Registros[[#This Row],[Cantidad]] * Tbla_Registros[[#This Row],[Precio]] + Tbla_Registros[[#This Row],[Comisión]]</f>
        <v>17.241072190560001</v>
      </c>
      <c r="J15" s="23">
        <f ca="1">IF(C15="","",IFERROR((VLOOKUP(C15,Portafolio!$A$6:$C$8,3,FALSE)-G15)/G15,""))</f>
        <v>8.1778606965174222E-2</v>
      </c>
      <c r="K15" s="121">
        <f t="shared" ca="1" si="4"/>
        <v>49</v>
      </c>
      <c r="L15" s="22">
        <f ca="1">IFERROR((VLOOKUP(C15,Portafolio!$A$6:$C$8,3,FALSE)-G15)*F15,"")</f>
        <v>1.4099508663300016</v>
      </c>
      <c r="M15" s="34" t="s">
        <v>120</v>
      </c>
      <c r="N15" s="113"/>
      <c r="O15" s="114"/>
      <c r="P15" s="109" t="s">
        <v>38</v>
      </c>
      <c r="Q15" s="117" t="s">
        <v>167</v>
      </c>
      <c r="R15" s="103"/>
      <c r="S15" s="103"/>
      <c r="T15" s="103"/>
      <c r="U15" s="103"/>
      <c r="V15" s="103"/>
      <c r="W15" s="103"/>
      <c r="X15" s="103"/>
      <c r="Y15" s="103"/>
      <c r="Z15" s="4" t="s">
        <v>168</v>
      </c>
    </row>
    <row r="16" spans="1:26" ht="17.5" x14ac:dyDescent="0.45">
      <c r="A16" s="28">
        <f t="shared" si="0"/>
        <v>11</v>
      </c>
      <c r="B16" s="29">
        <v>46128</v>
      </c>
      <c r="C16" s="30" t="s">
        <v>37</v>
      </c>
      <c r="D16" s="31" t="str">
        <f>IF(Tbla_Registros[[#This Row],[Ticker]]="","",_xlfn.XLOOKUP(Tbla_Registros[[#This Row],[Ticker]],$P$14:$P$19,$Q$14:$Q$19,Tbla_Registros[[#This Row],[Ticker]]))</f>
        <v>SPDR S&amp;P 500</v>
      </c>
      <c r="E16" s="30" t="s">
        <v>152</v>
      </c>
      <c r="F16" s="32">
        <v>0.27869924200000001</v>
      </c>
      <c r="G16" s="33">
        <v>82.6</v>
      </c>
      <c r="H16" s="33">
        <v>0</v>
      </c>
      <c r="I16" s="33">
        <f>Tbla_Registros[[#This Row],[Cantidad]] * Tbla_Registros[[#This Row],[Precio]] + Tbla_Registros[[#This Row],[Comisión]]</f>
        <v>23.0205573892</v>
      </c>
      <c r="J16" s="23">
        <f ca="1">IF(C16="","",IFERROR((VLOOKUP(C16,Portafolio!$A$6:$C$8,3,FALSE)-G16)/G16,""))</f>
        <v>7.881355932203396E-2</v>
      </c>
      <c r="K16" s="121">
        <f t="shared" ca="1" si="4"/>
        <v>49</v>
      </c>
      <c r="L16" s="22">
        <f ca="1">IFERROR((VLOOKUP(C16,Portafolio!$A$6:$C$8,3,FALSE)-G16)*F16,"")</f>
        <v>1.8143320654200015</v>
      </c>
      <c r="M16" s="34" t="s">
        <v>120</v>
      </c>
      <c r="N16" s="113"/>
      <c r="O16" s="114"/>
      <c r="P16" s="109" t="s">
        <v>39</v>
      </c>
      <c r="Q16" s="117" t="s">
        <v>169</v>
      </c>
      <c r="R16" s="103"/>
      <c r="S16" s="103"/>
      <c r="T16" s="103"/>
      <c r="U16" s="103"/>
      <c r="V16" s="103"/>
      <c r="W16" s="103"/>
      <c r="X16" s="103"/>
      <c r="Y16" s="103"/>
      <c r="Z16" s="4" t="s">
        <v>170</v>
      </c>
    </row>
    <row r="17" spans="1:26" ht="35" x14ac:dyDescent="0.45">
      <c r="A17" s="28">
        <f t="shared" si="0"/>
        <v>12</v>
      </c>
      <c r="B17" s="29">
        <v>46142</v>
      </c>
      <c r="C17" s="30" t="s">
        <v>38</v>
      </c>
      <c r="D17" s="31" t="str">
        <f>IF(Tbla_Registros[[#This Row],[Ticker]]="","",_xlfn.XLOOKUP(Tbla_Registros[[#This Row],[Ticker]],$P$14:$P$19,$Q$14:$Q$19,Tbla_Registros[[#This Row],[Ticker]]))</f>
        <v>Schwab Dividend</v>
      </c>
      <c r="E17" s="30" t="s">
        <v>152</v>
      </c>
      <c r="F17" s="32">
        <v>0.48502095099999998</v>
      </c>
      <c r="G17" s="33">
        <v>31.98</v>
      </c>
      <c r="H17" s="33">
        <v>0</v>
      </c>
      <c r="I17" s="33">
        <f>Tbla_Registros[[#This Row],[Cantidad]] * Tbla_Registros[[#This Row],[Precio]] + Tbla_Registros[[#This Row],[Comisión]]</f>
        <v>15.51097001298</v>
      </c>
      <c r="J17" s="23">
        <f ca="1">IF(C17="","",IFERROR((VLOOKUP(C17,Portafolio!$A$6:$C$8,3,FALSE)-G17)/G17,""))</f>
        <v>1.9074421513445995E-2</v>
      </c>
      <c r="K17" s="121">
        <f t="shared" ca="1" si="4"/>
        <v>35</v>
      </c>
      <c r="L17" s="22">
        <f ca="1">IFERROR((VLOOKUP(C17,Portafolio!$A$6:$C$8,3,FALSE)-G17)*F17,"")</f>
        <v>0.29586278011000144</v>
      </c>
      <c r="M17" s="34" t="s">
        <v>120</v>
      </c>
      <c r="N17" s="113"/>
      <c r="O17" s="114"/>
      <c r="P17" s="109" t="s">
        <v>155</v>
      </c>
      <c r="Q17" s="117" t="s">
        <v>171</v>
      </c>
      <c r="R17" s="103"/>
      <c r="S17" s="103"/>
      <c r="T17" s="103"/>
      <c r="U17" s="103"/>
      <c r="V17" s="103"/>
      <c r="W17" s="103"/>
      <c r="X17" s="103"/>
      <c r="Y17" s="103"/>
      <c r="Z17" s="4" t="s">
        <v>172</v>
      </c>
    </row>
    <row r="18" spans="1:26" ht="17.5" x14ac:dyDescent="0.45">
      <c r="A18" s="28">
        <f t="shared" si="0"/>
        <v>13</v>
      </c>
      <c r="B18" s="29">
        <v>46142</v>
      </c>
      <c r="C18" s="30" t="s">
        <v>39</v>
      </c>
      <c r="D18" s="31" t="str">
        <f>IF(Tbla_Registros[[#This Row],[Ticker]]="","",_xlfn.XLOOKUP(Tbla_Registros[[#This Row],[Ticker]],$P$14:$P$19,$Q$14:$Q$19,Tbla_Registros[[#This Row],[Ticker]]))</f>
        <v>Schwab Growth</v>
      </c>
      <c r="E18" s="30" t="s">
        <v>152</v>
      </c>
      <c r="F18" s="32">
        <v>0.54343174999999999</v>
      </c>
      <c r="G18" s="33">
        <v>32.72</v>
      </c>
      <c r="H18" s="33">
        <v>0</v>
      </c>
      <c r="I18" s="33">
        <f>Tbla_Registros[[#This Row],[Cantidad]] * Tbla_Registros[[#This Row],[Precio]] + Tbla_Registros[[#This Row],[Comisión]]</f>
        <v>17.781086859999998</v>
      </c>
      <c r="J18" s="23">
        <f ca="1">IF(C18="","",IFERROR((VLOOKUP(C18,Portafolio!$A$6:$C$8,3,FALSE)-G18)/G18,""))</f>
        <v>6.3264058679706608E-2</v>
      </c>
      <c r="K18" s="121">
        <f t="shared" ca="1" si="4"/>
        <v>35</v>
      </c>
      <c r="L18" s="22">
        <f ca="1">IFERROR((VLOOKUP(C18,Portafolio!$A$6:$C$8,3,FALSE)-G18)*F18,"")</f>
        <v>1.1249037225</v>
      </c>
      <c r="M18" s="34" t="s">
        <v>120</v>
      </c>
      <c r="N18" s="113"/>
      <c r="O18" s="114"/>
      <c r="P18" s="109" t="s">
        <v>157</v>
      </c>
      <c r="Q18" s="117" t="s">
        <v>173</v>
      </c>
      <c r="R18" s="103"/>
      <c r="S18" s="103"/>
      <c r="T18" s="103"/>
      <c r="U18" s="103"/>
      <c r="V18" s="103"/>
      <c r="W18" s="103"/>
      <c r="X18" s="103"/>
      <c r="Y18" s="103"/>
      <c r="Z18" s="4" t="s">
        <v>174</v>
      </c>
    </row>
    <row r="19" spans="1:26" ht="35" x14ac:dyDescent="0.45">
      <c r="A19" s="28">
        <f t="shared" si="0"/>
        <v>14</v>
      </c>
      <c r="B19" s="29">
        <v>46142</v>
      </c>
      <c r="C19" s="30" t="s">
        <v>37</v>
      </c>
      <c r="D19" s="31" t="str">
        <f>IF(Tbla_Registros[[#This Row],[Ticker]]="","",_xlfn.XLOOKUP(Tbla_Registros[[#This Row],[Ticker]],$P$14:$P$19,$Q$14:$Q$19,Tbla_Registros[[#This Row],[Ticker]]))</f>
        <v>SPDR S&amp;P 500</v>
      </c>
      <c r="E19" s="30" t="s">
        <v>152</v>
      </c>
      <c r="F19" s="32">
        <v>0.27833875800000002</v>
      </c>
      <c r="G19" s="33">
        <v>84.18</v>
      </c>
      <c r="H19" s="33">
        <v>0</v>
      </c>
      <c r="I19" s="33">
        <f>Tbla_Registros[[#This Row],[Cantidad]] * Tbla_Registros[[#This Row],[Precio]] + Tbla_Registros[[#This Row],[Comisión]]</f>
        <v>23.430556648440003</v>
      </c>
      <c r="J19" s="23">
        <f ca="1">IF(C19="","",IFERROR((VLOOKUP(C19,Portafolio!$A$6:$C$8,3,FALSE)-G19)/G19,""))</f>
        <v>5.8564979805179287E-2</v>
      </c>
      <c r="K19" s="121">
        <f t="shared" ca="1" si="4"/>
        <v>35</v>
      </c>
      <c r="L19" s="22">
        <f ca="1">IFERROR((VLOOKUP(C19,Portafolio!$A$6:$C$8,3,FALSE)-G19)*F19,"")</f>
        <v>1.3722100769399981</v>
      </c>
      <c r="M19" s="34" t="s">
        <v>120</v>
      </c>
      <c r="N19" s="113"/>
      <c r="O19" s="114"/>
      <c r="P19" s="103" t="s">
        <v>159</v>
      </c>
      <c r="Q19" s="117" t="s">
        <v>175</v>
      </c>
      <c r="R19" s="103"/>
      <c r="S19" s="103"/>
      <c r="T19" s="103"/>
      <c r="U19" s="103"/>
      <c r="V19" s="103"/>
      <c r="W19" s="103"/>
      <c r="X19" s="103"/>
      <c r="Y19" s="103"/>
      <c r="Z19" s="4" t="s">
        <v>176</v>
      </c>
    </row>
    <row r="20" spans="1:26" ht="17.5" x14ac:dyDescent="0.45">
      <c r="A20" s="28">
        <f t="shared" si="0"/>
        <v>15</v>
      </c>
      <c r="B20" s="29">
        <v>46157</v>
      </c>
      <c r="C20" s="30" t="s">
        <v>38</v>
      </c>
      <c r="D20" s="31" t="str">
        <f>IF(Tbla_Registros[[#This Row],[Ticker]]="","",_xlfn.XLOOKUP(Tbla_Registros[[#This Row],[Ticker]],$P$14:$P$19,$Q$14:$Q$19,Tbla_Registros[[#This Row],[Ticker]]))</f>
        <v>Schwab Dividend</v>
      </c>
      <c r="E20" s="30" t="s">
        <v>152</v>
      </c>
      <c r="F20" s="32">
        <v>0.55867330800000004</v>
      </c>
      <c r="G20" s="33">
        <v>31.72</v>
      </c>
      <c r="H20" s="33">
        <v>0</v>
      </c>
      <c r="I20" s="33">
        <f>Tbla_Registros[[#This Row],[Cantidad]] * Tbla_Registros[[#This Row],[Precio]] + Tbla_Registros[[#This Row],[Comisión]]</f>
        <v>17.721117329760002</v>
      </c>
      <c r="J20" s="23">
        <f ca="1">IF(C20="","",IFERROR((VLOOKUP(C20,Portafolio!$A$6:$C$8,3,FALSE)-G20)/G20,""))</f>
        <v>2.7427490542244786E-2</v>
      </c>
      <c r="K20" s="121">
        <f t="shared" ca="1" si="4"/>
        <v>20</v>
      </c>
      <c r="L20" s="22">
        <f ca="1">IFERROR((VLOOKUP(C20,Portafolio!$A$6:$C$8,3,FALSE)-G20)*F20,"")</f>
        <v>0.48604577796000259</v>
      </c>
      <c r="M20" s="34" t="s">
        <v>120</v>
      </c>
      <c r="N20" s="113"/>
      <c r="O20" s="114"/>
      <c r="P20" s="103"/>
      <c r="Q20" s="117"/>
      <c r="R20" s="103"/>
      <c r="S20" s="103"/>
      <c r="T20" s="103"/>
      <c r="U20" s="103"/>
      <c r="V20" s="103"/>
      <c r="W20" s="103"/>
      <c r="X20" s="103"/>
      <c r="Y20" s="103"/>
      <c r="Z20" s="4" t="s">
        <v>177</v>
      </c>
    </row>
    <row r="21" spans="1:26" ht="17.5" x14ac:dyDescent="0.45">
      <c r="A21" s="28">
        <f t="shared" si="0"/>
        <v>16</v>
      </c>
      <c r="B21" s="29">
        <v>46160</v>
      </c>
      <c r="C21" s="30" t="s">
        <v>37</v>
      </c>
      <c r="D21" s="31" t="str">
        <f>IF(Tbla_Registros[[#This Row],[Ticker]]="","",_xlfn.XLOOKUP(Tbla_Registros[[#This Row],[Ticker]],$P$14:$P$19,$Q$14:$Q$19,Tbla_Registros[[#This Row],[Ticker]]))</f>
        <v>SPDR S&amp;P 500</v>
      </c>
      <c r="E21" s="30" t="s">
        <v>152</v>
      </c>
      <c r="F21" s="32">
        <v>0.21404482699999999</v>
      </c>
      <c r="G21" s="33">
        <v>87.18</v>
      </c>
      <c r="H21" s="33">
        <v>0</v>
      </c>
      <c r="I21" s="33">
        <f>Tbla_Registros[[#This Row],[Cantidad]] * Tbla_Registros[[#This Row],[Precio]] + Tbla_Registros[[#This Row],[Comisión]]</f>
        <v>18.660428017859999</v>
      </c>
      <c r="J21" s="23">
        <f ca="1">IF(C21="","",IFERROR((VLOOKUP(C21,Portafolio!$A$6:$C$8,3,FALSE)-G21)/G21,""))</f>
        <v>2.213810506997009E-2</v>
      </c>
      <c r="K21" s="121">
        <f t="shared" ca="1" si="4"/>
        <v>17</v>
      </c>
      <c r="L21" s="22">
        <f ca="1">IFERROR((VLOOKUP(C21,Portafolio!$A$6:$C$8,3,FALSE)-G21)*F21,"")</f>
        <v>0.41310651610999838</v>
      </c>
      <c r="M21" s="34" t="s">
        <v>120</v>
      </c>
      <c r="N21" s="113"/>
      <c r="O21" s="114"/>
      <c r="P21" s="103"/>
      <c r="Q21" s="117"/>
      <c r="R21" s="103"/>
      <c r="S21" s="103"/>
      <c r="T21" s="103"/>
      <c r="U21" s="103"/>
      <c r="V21" s="103"/>
      <c r="W21" s="103"/>
      <c r="X21" s="103"/>
      <c r="Y21" s="103"/>
      <c r="Z21" s="4" t="s">
        <v>178</v>
      </c>
    </row>
    <row r="22" spans="1:26" ht="17.5" x14ac:dyDescent="0.45">
      <c r="A22" s="28">
        <f t="shared" si="0"/>
        <v>17</v>
      </c>
      <c r="B22" s="29">
        <v>46160</v>
      </c>
      <c r="C22" s="30" t="s">
        <v>39</v>
      </c>
      <c r="D22" s="31" t="str">
        <f>IF(Tbla_Registros[[#This Row],[Ticker]]="","",_xlfn.XLOOKUP(Tbla_Registros[[#This Row],[Ticker]],$P$14:$P$19,$Q$14:$Q$19,Tbla_Registros[[#This Row],[Ticker]]))</f>
        <v>Schwab Growth</v>
      </c>
      <c r="E22" s="30" t="s">
        <v>152</v>
      </c>
      <c r="F22" s="32">
        <v>0.38309383899999999</v>
      </c>
      <c r="G22" s="33">
        <v>34.380000000000003</v>
      </c>
      <c r="H22" s="33">
        <v>0</v>
      </c>
      <c r="I22" s="33">
        <f>Tbla_Registros[[#This Row],[Cantidad]] * Tbla_Registros[[#This Row],[Precio]] + Tbla_Registros[[#This Row],[Comisión]]</f>
        <v>13.170766184820001</v>
      </c>
      <c r="J22" s="23">
        <f ca="1">IF(C22="","",IFERROR((VLOOKUP(C22,Portafolio!$A$6:$C$8,3,FALSE)-G22)/G22,""))</f>
        <v>1.1925538103548475E-2</v>
      </c>
      <c r="K22" s="121">
        <f t="shared" ca="1" si="4"/>
        <v>17</v>
      </c>
      <c r="L22" s="22">
        <f ca="1">IFERROR((VLOOKUP(C22,Portafolio!$A$6:$C$8,3,FALSE)-G22)*F22,"")</f>
        <v>0.15706847398999868</v>
      </c>
      <c r="M22" s="34" t="s">
        <v>120</v>
      </c>
      <c r="N22" s="113"/>
      <c r="O22" s="114"/>
      <c r="P22" s="103"/>
      <c r="Q22" s="117"/>
      <c r="R22" s="103"/>
      <c r="S22" s="103"/>
      <c r="T22" s="103"/>
      <c r="U22" s="103"/>
      <c r="V22" s="103"/>
      <c r="W22" s="103"/>
      <c r="X22" s="103"/>
      <c r="Y22" s="103"/>
      <c r="Z22" s="4" t="s">
        <v>179</v>
      </c>
    </row>
    <row r="23" spans="1:26" ht="17.5" x14ac:dyDescent="0.45">
      <c r="A23" s="28">
        <f t="shared" si="0"/>
        <v>18</v>
      </c>
      <c r="B23" s="29">
        <v>46160</v>
      </c>
      <c r="C23" s="30" t="s">
        <v>38</v>
      </c>
      <c r="D23" s="31" t="str">
        <f>IF(Tbla_Registros[[#This Row],[Ticker]]="","",_xlfn.XLOOKUP(Tbla_Registros[[#This Row],[Ticker]],$P$14:$P$19,$Q$14:$Q$19,Tbla_Registros[[#This Row],[Ticker]]))</f>
        <v>Schwab Dividend</v>
      </c>
      <c r="E23" s="30" t="s">
        <v>152</v>
      </c>
      <c r="F23" s="32">
        <v>0.244522568</v>
      </c>
      <c r="G23" s="33">
        <v>31.86</v>
      </c>
      <c r="H23" s="33">
        <v>0</v>
      </c>
      <c r="I23" s="33">
        <f>Tbla_Registros[[#This Row],[Cantidad]] * Tbla_Registros[[#This Row],[Precio]] + Tbla_Registros[[#This Row],[Comisión]]</f>
        <v>7.7904890164799996</v>
      </c>
      <c r="J23" s="23">
        <f ca="1">IF(C23="","",IFERROR((VLOOKUP(C23,Portafolio!$A$6:$C$8,3,FALSE)-G23)/G23,""))</f>
        <v>2.2912743251726427E-2</v>
      </c>
      <c r="K23" s="121">
        <f t="shared" ca="1" si="4"/>
        <v>17</v>
      </c>
      <c r="L23" s="22">
        <f ca="1">IFERROR((VLOOKUP(C23,Portafolio!$A$6:$C$8,3,FALSE)-G23)*F23,"")</f>
        <v>0.17850147464000096</v>
      </c>
      <c r="M23" s="34" t="s">
        <v>120</v>
      </c>
      <c r="N23" s="113"/>
      <c r="O23" s="114"/>
      <c r="P23" s="103"/>
      <c r="Q23" s="117"/>
      <c r="R23" s="103"/>
      <c r="S23" s="103"/>
      <c r="T23" s="103"/>
      <c r="U23" s="103"/>
      <c r="V23" s="103"/>
      <c r="W23" s="103"/>
      <c r="X23" s="103"/>
      <c r="Y23" s="103"/>
      <c r="Z23" s="4" t="s">
        <v>180</v>
      </c>
    </row>
    <row r="24" spans="1:26" ht="17.5" x14ac:dyDescent="0.45">
      <c r="A24" s="28">
        <f t="shared" si="0"/>
        <v>19</v>
      </c>
      <c r="B24" s="29">
        <v>46174</v>
      </c>
      <c r="C24" s="30" t="s">
        <v>37</v>
      </c>
      <c r="D24" s="31" t="str">
        <f>IF(Tbla_Registros[[#This Row],[Ticker]]="","",_xlfn.XLOOKUP(Tbla_Registros[[#This Row],[Ticker]],$P$14:$P$19,$Q$14:$Q$19,Tbla_Registros[[#This Row],[Ticker]]))</f>
        <v>SPDR S&amp;P 500</v>
      </c>
      <c r="E24" s="30" t="s">
        <v>152</v>
      </c>
      <c r="F24" s="32">
        <v>0.29535</v>
      </c>
      <c r="G24" s="33">
        <v>89.02</v>
      </c>
      <c r="H24" s="33">
        <v>0</v>
      </c>
      <c r="I24" s="33">
        <f>Tbla_Registros[[#This Row],[Cantidad]] * Tbla_Registros[[#This Row],[Precio]] + Tbla_Registros[[#This Row],[Comisión]]</f>
        <v>26.292057</v>
      </c>
      <c r="J24" s="23">
        <f ca="1">IF(C24="","",IFERROR((VLOOKUP(C24,Portafolio!$A$6:$C$8,3,FALSE)-G24)/G24,""))</f>
        <v>1.0110087620759764E-3</v>
      </c>
      <c r="K24" s="121">
        <f t="shared" ca="1" si="4"/>
        <v>3</v>
      </c>
      <c r="L24" s="22">
        <f ca="1">IFERROR((VLOOKUP(C24,Portafolio!$A$6:$C$8,3,FALSE)-G24)*F24,"")</f>
        <v>2.6581500000001007E-2</v>
      </c>
      <c r="M24" s="34" t="s">
        <v>122</v>
      </c>
      <c r="N24" s="113"/>
      <c r="O24" s="114"/>
      <c r="P24" s="103"/>
      <c r="Q24" s="117"/>
      <c r="R24" s="103"/>
      <c r="S24" s="103"/>
      <c r="T24" s="103"/>
      <c r="U24" s="103"/>
      <c r="V24" s="103"/>
      <c r="W24" s="103"/>
      <c r="X24" s="103"/>
      <c r="Y24" s="103"/>
      <c r="Z24" s="4" t="s">
        <v>181</v>
      </c>
    </row>
    <row r="25" spans="1:26" ht="17.5" x14ac:dyDescent="0.45">
      <c r="A25" s="28">
        <f t="shared" si="0"/>
        <v>20</v>
      </c>
      <c r="B25" s="29">
        <v>46174</v>
      </c>
      <c r="C25" s="30" t="s">
        <v>38</v>
      </c>
      <c r="D25" s="31" t="str">
        <f>IF(Tbla_Registros[[#This Row],[Ticker]]="","",_xlfn.XLOOKUP(Tbla_Registros[[#This Row],[Ticker]],$P$14:$P$19,$Q$14:$Q$19,Tbla_Registros[[#This Row],[Ticker]]))</f>
        <v>Schwab Dividend</v>
      </c>
      <c r="E25" s="30" t="s">
        <v>152</v>
      </c>
      <c r="F25" s="32">
        <v>0.37735999999999997</v>
      </c>
      <c r="G25" s="33">
        <v>32.25</v>
      </c>
      <c r="H25" s="33">
        <v>0</v>
      </c>
      <c r="I25" s="33">
        <f>Tbla_Registros[[#This Row],[Cantidad]] * Tbla_Registros[[#This Row],[Precio]] + Tbla_Registros[[#This Row],[Comisión]]</f>
        <v>12.16986</v>
      </c>
      <c r="J25" s="23">
        <f ca="1">IF(C25="","",IFERROR((VLOOKUP(C25,Portafolio!$A$6:$C$8,3,FALSE)-G25)/G25,""))</f>
        <v>1.0542635658914834E-2</v>
      </c>
      <c r="K25" s="121">
        <f t="shared" ca="1" si="4"/>
        <v>3</v>
      </c>
      <c r="L25" s="22">
        <f ca="1">IFERROR((VLOOKUP(C25,Portafolio!$A$6:$C$8,3,FALSE)-G25)*F25,"")</f>
        <v>0.12830240000000129</v>
      </c>
      <c r="M25" s="34" t="s">
        <v>122</v>
      </c>
      <c r="N25" s="113"/>
      <c r="O25" s="114"/>
      <c r="P25" s="103"/>
      <c r="Q25" s="117"/>
      <c r="R25" s="103"/>
      <c r="S25" s="103"/>
      <c r="T25" s="103"/>
      <c r="U25" s="103"/>
      <c r="V25" s="103"/>
      <c r="W25" s="103"/>
      <c r="X25" s="103"/>
      <c r="Y25" s="103"/>
      <c r="Z25" s="4" t="s">
        <v>182</v>
      </c>
    </row>
    <row r="26" spans="1:26" ht="17.5" x14ac:dyDescent="0.45">
      <c r="A26" s="28">
        <f t="shared" si="0"/>
        <v>21</v>
      </c>
      <c r="B26" s="29">
        <v>46174</v>
      </c>
      <c r="C26" s="30" t="s">
        <v>39</v>
      </c>
      <c r="D26" s="31" t="str">
        <f>IF(Tbla_Registros[[#This Row],[Ticker]]="","",_xlfn.XLOOKUP(Tbla_Registros[[#This Row],[Ticker]],$P$14:$P$19,$Q$14:$Q$19,Tbla_Registros[[#This Row],[Ticker]]))</f>
        <v>Schwab Growth</v>
      </c>
      <c r="E26" s="30" t="s">
        <v>152</v>
      </c>
      <c r="F26" s="32">
        <v>0.53259000000000001</v>
      </c>
      <c r="G26" s="33">
        <v>35.130000000000003</v>
      </c>
      <c r="H26" s="33">
        <v>0</v>
      </c>
      <c r="I26" s="33">
        <f>Tbla_Registros[[#This Row],[Cantidad]] * Tbla_Registros[[#This Row],[Precio]] + Tbla_Registros[[#This Row],[Comisión]]</f>
        <v>18.709886700000002</v>
      </c>
      <c r="J26" s="23">
        <f ca="1">IF(C26="","",IFERROR((VLOOKUP(C26,Portafolio!$A$6:$C$8,3,FALSE)-G26)/G26,""))</f>
        <v>-9.678337603188255E-3</v>
      </c>
      <c r="K26" s="121">
        <f t="shared" ca="1" si="4"/>
        <v>3</v>
      </c>
      <c r="L26" s="22">
        <f ca="1">IFERROR((VLOOKUP(C26,Portafolio!$A$6:$C$8,3,FALSE)-G26)*F26,"")</f>
        <v>-0.18108060000000181</v>
      </c>
      <c r="M26" s="34" t="s">
        <v>122</v>
      </c>
      <c r="N26" s="113"/>
      <c r="O26" s="114"/>
      <c r="P26" s="103"/>
      <c r="Q26" s="117"/>
      <c r="R26" s="103"/>
      <c r="S26" s="103"/>
      <c r="T26" s="103"/>
      <c r="U26" s="103"/>
      <c r="V26" s="103"/>
      <c r="W26" s="103"/>
      <c r="X26" s="103"/>
      <c r="Y26" s="103"/>
      <c r="Z26" s="4" t="s">
        <v>183</v>
      </c>
    </row>
    <row r="27" spans="1:26" ht="17.5" x14ac:dyDescent="0.45">
      <c r="A27" s="28"/>
      <c r="B27" s="29"/>
      <c r="C27" s="30"/>
      <c r="D27" s="31"/>
      <c r="E27" s="30"/>
      <c r="F27" s="35"/>
      <c r="G27" s="36"/>
      <c r="H27" s="36"/>
      <c r="I27" s="36"/>
      <c r="J27" s="36"/>
      <c r="K27" s="37"/>
      <c r="L27" s="36"/>
      <c r="M27" s="30"/>
      <c r="N27" s="113"/>
      <c r="O27" s="103"/>
      <c r="P27" s="103"/>
      <c r="Q27" s="117"/>
      <c r="R27" s="103"/>
      <c r="S27" s="103"/>
      <c r="T27" s="103"/>
      <c r="U27" s="103"/>
      <c r="V27" s="103"/>
      <c r="W27" s="103"/>
      <c r="X27" s="103"/>
      <c r="Y27" s="103"/>
    </row>
    <row r="28" spans="1:26" ht="17.5" x14ac:dyDescent="0.45">
      <c r="A28" s="28"/>
      <c r="B28" s="29"/>
      <c r="C28" s="30"/>
      <c r="D28" s="31"/>
      <c r="E28" s="30"/>
      <c r="F28" s="35"/>
      <c r="G28" s="36"/>
      <c r="H28" s="36"/>
      <c r="I28" s="36"/>
      <c r="J28" s="36"/>
      <c r="K28" s="37"/>
      <c r="L28" s="36"/>
      <c r="M28" s="30"/>
      <c r="N28" s="113"/>
      <c r="O28" s="114"/>
      <c r="P28" s="103"/>
      <c r="Q28" s="117"/>
      <c r="R28" s="103"/>
      <c r="S28" s="103"/>
      <c r="T28" s="103"/>
      <c r="U28" s="103"/>
      <c r="V28" s="103"/>
      <c r="W28" s="103"/>
      <c r="X28" s="103"/>
      <c r="Y28" s="103"/>
    </row>
    <row r="29" spans="1:26" ht="17.5" x14ac:dyDescent="0.45">
      <c r="A29" s="28"/>
      <c r="B29" s="29"/>
      <c r="C29" s="30"/>
      <c r="D29" s="31"/>
      <c r="E29" s="30"/>
      <c r="F29" s="35"/>
      <c r="G29" s="36"/>
      <c r="H29" s="36"/>
      <c r="I29" s="36"/>
      <c r="J29" s="36"/>
      <c r="K29" s="37"/>
      <c r="L29" s="36"/>
      <c r="M29" s="30"/>
      <c r="N29" s="113"/>
      <c r="O29" s="114"/>
      <c r="P29" s="103"/>
      <c r="Q29" s="117"/>
      <c r="R29" s="103"/>
      <c r="S29" s="103"/>
      <c r="T29" s="103"/>
      <c r="U29" s="103"/>
      <c r="V29" s="103"/>
      <c r="W29" s="103"/>
      <c r="X29" s="103"/>
      <c r="Y29" s="103"/>
    </row>
    <row r="30" spans="1:26" ht="17.5" x14ac:dyDescent="0.45">
      <c r="A30" s="28"/>
      <c r="B30" s="29"/>
      <c r="C30" s="30"/>
      <c r="D30" s="31"/>
      <c r="E30" s="30"/>
      <c r="F30" s="35"/>
      <c r="G30" s="36"/>
      <c r="H30" s="36"/>
      <c r="I30" s="36"/>
      <c r="J30" s="36"/>
      <c r="K30" s="37"/>
      <c r="L30" s="36"/>
      <c r="M30" s="30"/>
      <c r="N30" s="113"/>
      <c r="O30" s="114"/>
      <c r="P30" s="103"/>
      <c r="Q30" s="117"/>
      <c r="R30" s="103"/>
      <c r="S30" s="103"/>
      <c r="T30" s="103"/>
      <c r="U30" s="103"/>
      <c r="V30" s="103"/>
      <c r="W30" s="103"/>
      <c r="X30" s="103"/>
      <c r="Y30" s="103"/>
    </row>
    <row r="31" spans="1:26" ht="17.5" x14ac:dyDescent="0.45">
      <c r="A31" s="28"/>
      <c r="B31" s="29"/>
      <c r="C31" s="30"/>
      <c r="D31" s="31"/>
      <c r="E31" s="30"/>
      <c r="F31" s="35"/>
      <c r="G31" s="36"/>
      <c r="H31" s="36"/>
      <c r="I31" s="36"/>
      <c r="J31" s="36"/>
      <c r="K31" s="37"/>
      <c r="L31" s="36"/>
      <c r="M31" s="30"/>
      <c r="N31" s="113"/>
      <c r="O31" s="114"/>
      <c r="P31" s="103"/>
      <c r="Q31" s="117"/>
      <c r="R31" s="103"/>
      <c r="S31" s="103"/>
      <c r="T31" s="103"/>
      <c r="U31" s="103"/>
      <c r="V31" s="103"/>
      <c r="W31" s="103"/>
      <c r="X31" s="103"/>
      <c r="Y31" s="103"/>
    </row>
    <row r="32" spans="1:26" ht="17.5" x14ac:dyDescent="0.45">
      <c r="A32" s="28"/>
      <c r="B32" s="29"/>
      <c r="C32" s="30"/>
      <c r="D32" s="31"/>
      <c r="E32" s="30"/>
      <c r="F32" s="35"/>
      <c r="G32" s="36"/>
      <c r="H32" s="36"/>
      <c r="I32" s="36"/>
      <c r="J32" s="36"/>
      <c r="K32" s="37"/>
      <c r="L32" s="36"/>
      <c r="M32" s="30"/>
      <c r="N32" s="113"/>
      <c r="O32" s="114"/>
      <c r="P32" s="103"/>
      <c r="Q32" s="117"/>
      <c r="R32" s="103"/>
      <c r="S32" s="103"/>
      <c r="T32" s="103"/>
      <c r="U32" s="103"/>
      <c r="V32" s="103"/>
      <c r="W32" s="103"/>
      <c r="X32" s="103"/>
      <c r="Y32" s="103"/>
    </row>
    <row r="33" spans="1:25" ht="17.5" x14ac:dyDescent="0.45">
      <c r="A33" s="28"/>
      <c r="B33" s="29"/>
      <c r="C33" s="30"/>
      <c r="D33" s="31"/>
      <c r="E33" s="30"/>
      <c r="F33" s="35"/>
      <c r="G33" s="36"/>
      <c r="H33" s="36"/>
      <c r="I33" s="36"/>
      <c r="J33" s="36"/>
      <c r="K33" s="37"/>
      <c r="L33" s="36"/>
      <c r="M33" s="30"/>
      <c r="N33" s="113"/>
      <c r="O33" s="114"/>
      <c r="P33" s="103"/>
      <c r="Q33" s="117"/>
      <c r="R33" s="103"/>
      <c r="S33" s="103"/>
      <c r="T33" s="103"/>
      <c r="U33" s="103"/>
      <c r="V33" s="103"/>
      <c r="W33" s="103"/>
      <c r="X33" s="103"/>
      <c r="Y33" s="103"/>
    </row>
    <row r="34" spans="1:25" ht="17.5" x14ac:dyDescent="0.45">
      <c r="A34" s="28"/>
      <c r="B34" s="29"/>
      <c r="C34" s="30"/>
      <c r="D34" s="31"/>
      <c r="E34" s="30"/>
      <c r="F34" s="35"/>
      <c r="G34" s="36"/>
      <c r="H34" s="36"/>
      <c r="I34" s="36"/>
      <c r="J34" s="36"/>
      <c r="K34" s="37"/>
      <c r="L34" s="36"/>
      <c r="M34" s="30"/>
      <c r="N34" s="113"/>
      <c r="O34" s="114"/>
      <c r="P34" s="103"/>
      <c r="Q34" s="117"/>
      <c r="R34" s="103"/>
      <c r="S34" s="103"/>
      <c r="T34" s="103"/>
      <c r="U34" s="103"/>
      <c r="V34" s="103"/>
      <c r="W34" s="103"/>
      <c r="X34" s="103"/>
      <c r="Y34" s="103"/>
    </row>
    <row r="35" spans="1:25" ht="17.5" x14ac:dyDescent="0.45">
      <c r="A35" s="28"/>
      <c r="B35" s="29"/>
      <c r="C35" s="30"/>
      <c r="D35" s="31"/>
      <c r="E35" s="30"/>
      <c r="F35" s="35"/>
      <c r="G35" s="36"/>
      <c r="H35" s="36"/>
      <c r="I35" s="36"/>
      <c r="J35" s="36"/>
      <c r="K35" s="37"/>
      <c r="L35" s="36"/>
      <c r="M35" s="30"/>
      <c r="N35" s="113"/>
      <c r="O35" s="114"/>
      <c r="P35" s="103"/>
      <c r="Q35" s="117"/>
      <c r="R35" s="103"/>
      <c r="S35" s="103"/>
      <c r="T35" s="103"/>
      <c r="U35" s="103"/>
      <c r="V35" s="103"/>
      <c r="W35" s="103"/>
      <c r="X35" s="103"/>
      <c r="Y35" s="103"/>
    </row>
    <row r="36" spans="1:25" ht="17.5" x14ac:dyDescent="0.45">
      <c r="A36" s="28"/>
      <c r="B36" s="29"/>
      <c r="C36" s="30"/>
      <c r="D36" s="31"/>
      <c r="E36" s="30"/>
      <c r="F36" s="35"/>
      <c r="G36" s="36"/>
      <c r="H36" s="36"/>
      <c r="I36" s="36"/>
      <c r="J36" s="36"/>
      <c r="K36" s="37"/>
      <c r="L36" s="36"/>
      <c r="M36" s="30"/>
      <c r="N36" s="113"/>
      <c r="O36" s="114"/>
      <c r="P36" s="103"/>
      <c r="Q36" s="117"/>
      <c r="R36" s="103"/>
      <c r="S36" s="103"/>
      <c r="T36" s="103"/>
      <c r="U36" s="103"/>
      <c r="V36" s="103"/>
      <c r="W36" s="103"/>
      <c r="X36" s="103"/>
      <c r="Y36" s="103"/>
    </row>
    <row r="37" spans="1:25" ht="17.5" x14ac:dyDescent="0.45">
      <c r="A37" s="28"/>
      <c r="B37" s="29"/>
      <c r="C37" s="30"/>
      <c r="D37" s="31"/>
      <c r="E37" s="30"/>
      <c r="F37" s="35"/>
      <c r="G37" s="36"/>
      <c r="H37" s="36"/>
      <c r="I37" s="36"/>
      <c r="J37" s="36"/>
      <c r="K37" s="37"/>
      <c r="L37" s="36"/>
      <c r="M37" s="30"/>
      <c r="N37" s="113"/>
      <c r="O37" s="114"/>
      <c r="P37" s="103"/>
      <c r="Q37" s="117"/>
      <c r="R37" s="103"/>
      <c r="S37" s="103"/>
      <c r="T37" s="103"/>
      <c r="U37" s="103"/>
      <c r="V37" s="103"/>
      <c r="W37" s="103"/>
      <c r="X37" s="103"/>
      <c r="Y37" s="103"/>
    </row>
    <row r="38" spans="1:25" ht="17.5" x14ac:dyDescent="0.45">
      <c r="A38" s="28"/>
      <c r="B38" s="29"/>
      <c r="C38" s="30"/>
      <c r="D38" s="31"/>
      <c r="E38" s="30"/>
      <c r="F38" s="35"/>
      <c r="G38" s="36"/>
      <c r="H38" s="36"/>
      <c r="I38" s="36"/>
      <c r="J38" s="36"/>
      <c r="K38" s="37"/>
      <c r="L38" s="36"/>
      <c r="M38" s="30"/>
      <c r="N38" s="113"/>
      <c r="O38" s="114"/>
      <c r="P38" s="103"/>
      <c r="Q38" s="117"/>
      <c r="R38" s="103"/>
      <c r="S38" s="103"/>
      <c r="T38" s="103"/>
      <c r="U38" s="103"/>
      <c r="V38" s="103"/>
      <c r="W38" s="103"/>
      <c r="X38" s="103"/>
      <c r="Y38" s="103"/>
    </row>
    <row r="39" spans="1:25" ht="17.5" x14ac:dyDescent="0.45">
      <c r="A39" s="28"/>
      <c r="B39" s="29"/>
      <c r="C39" s="30"/>
      <c r="D39" s="31"/>
      <c r="E39" s="30"/>
      <c r="F39" s="35"/>
      <c r="G39" s="36"/>
      <c r="H39" s="36"/>
      <c r="I39" s="36"/>
      <c r="J39" s="36"/>
      <c r="K39" s="37"/>
      <c r="L39" s="36"/>
      <c r="M39" s="30"/>
      <c r="N39" s="113"/>
      <c r="O39" s="114"/>
      <c r="P39" s="103"/>
      <c r="Q39" s="117"/>
      <c r="R39" s="103"/>
      <c r="S39" s="103"/>
      <c r="T39" s="103"/>
      <c r="U39" s="103"/>
      <c r="V39" s="103"/>
      <c r="W39" s="103"/>
      <c r="X39" s="103"/>
      <c r="Y39" s="103"/>
    </row>
    <row r="40" spans="1:25" ht="17.5" x14ac:dyDescent="0.45">
      <c r="A40" s="28"/>
      <c r="B40" s="29"/>
      <c r="C40" s="30"/>
      <c r="D40" s="31"/>
      <c r="E40" s="30"/>
      <c r="F40" s="35"/>
      <c r="G40" s="36"/>
      <c r="H40" s="36"/>
      <c r="I40" s="36"/>
      <c r="J40" s="36"/>
      <c r="K40" s="37"/>
      <c r="L40" s="36"/>
      <c r="M40" s="30"/>
      <c r="N40" s="113"/>
      <c r="O40" s="114"/>
      <c r="P40" s="103"/>
      <c r="Q40" s="117"/>
      <c r="R40" s="103"/>
      <c r="S40" s="103"/>
      <c r="T40" s="103"/>
      <c r="U40" s="103"/>
      <c r="V40" s="103"/>
      <c r="W40" s="103"/>
      <c r="X40" s="103"/>
      <c r="Y40" s="103"/>
    </row>
    <row r="41" spans="1:25" ht="17.5" x14ac:dyDescent="0.45">
      <c r="A41" s="28"/>
      <c r="B41" s="29"/>
      <c r="C41" s="30"/>
      <c r="D41" s="31"/>
      <c r="E41" s="30"/>
      <c r="F41" s="35"/>
      <c r="G41" s="36"/>
      <c r="H41" s="36"/>
      <c r="I41" s="36"/>
      <c r="J41" s="36"/>
      <c r="K41" s="37"/>
      <c r="L41" s="36"/>
      <c r="M41" s="30"/>
      <c r="N41" s="113"/>
      <c r="O41" s="114"/>
      <c r="P41" s="103"/>
      <c r="Q41" s="117"/>
      <c r="R41" s="103"/>
      <c r="S41" s="103"/>
      <c r="T41" s="103"/>
      <c r="U41" s="103"/>
      <c r="V41" s="103"/>
      <c r="W41" s="103"/>
      <c r="X41" s="103"/>
      <c r="Y41" s="103"/>
    </row>
    <row r="42" spans="1:25" ht="17.5" x14ac:dyDescent="0.45">
      <c r="A42" s="28"/>
      <c r="B42" s="29"/>
      <c r="C42" s="30"/>
      <c r="D42" s="31"/>
      <c r="E42" s="30"/>
      <c r="F42" s="35"/>
      <c r="G42" s="36"/>
      <c r="H42" s="36"/>
      <c r="I42" s="36"/>
      <c r="J42" s="36"/>
      <c r="K42" s="37"/>
      <c r="L42" s="36"/>
      <c r="M42" s="30"/>
      <c r="N42" s="113"/>
      <c r="O42" s="114"/>
      <c r="P42" s="103"/>
      <c r="Q42" s="117"/>
      <c r="R42" s="103"/>
      <c r="S42" s="103"/>
      <c r="T42" s="103"/>
      <c r="U42" s="103"/>
      <c r="V42" s="103"/>
      <c r="W42" s="103"/>
      <c r="X42" s="103"/>
      <c r="Y42" s="103"/>
    </row>
    <row r="43" spans="1:25" ht="17.5" x14ac:dyDescent="0.45">
      <c r="A43" s="28"/>
      <c r="B43" s="29"/>
      <c r="C43" s="30"/>
      <c r="D43" s="31"/>
      <c r="E43" s="30"/>
      <c r="F43" s="35"/>
      <c r="G43" s="36"/>
      <c r="H43" s="36"/>
      <c r="I43" s="36"/>
      <c r="J43" s="36"/>
      <c r="K43" s="37"/>
      <c r="L43" s="36"/>
      <c r="M43" s="30"/>
      <c r="N43" s="113"/>
      <c r="O43" s="114"/>
      <c r="P43" s="103"/>
      <c r="Q43" s="117"/>
      <c r="R43" s="103"/>
      <c r="S43" s="103"/>
      <c r="T43" s="103"/>
      <c r="U43" s="103"/>
      <c r="V43" s="103"/>
      <c r="W43" s="103"/>
      <c r="X43" s="103"/>
      <c r="Y43" s="103"/>
    </row>
    <row r="44" spans="1:25" ht="17.5" x14ac:dyDescent="0.45">
      <c r="A44" s="28"/>
      <c r="B44" s="29"/>
      <c r="C44" s="30"/>
      <c r="D44" s="31"/>
      <c r="E44" s="30"/>
      <c r="F44" s="35"/>
      <c r="G44" s="36"/>
      <c r="H44" s="36"/>
      <c r="I44" s="36"/>
      <c r="J44" s="36"/>
      <c r="K44" s="37"/>
      <c r="L44" s="36"/>
      <c r="M44" s="30"/>
      <c r="N44" s="113"/>
      <c r="O44" s="114"/>
      <c r="P44" s="103"/>
      <c r="Q44" s="117"/>
      <c r="R44" s="103"/>
      <c r="S44" s="103"/>
      <c r="T44" s="103"/>
      <c r="U44" s="103"/>
      <c r="V44" s="103"/>
      <c r="W44" s="103"/>
      <c r="X44" s="103"/>
      <c r="Y44" s="103"/>
    </row>
    <row r="45" spans="1:25" ht="17.5" x14ac:dyDescent="0.45">
      <c r="A45" s="28"/>
      <c r="B45" s="29"/>
      <c r="C45" s="30"/>
      <c r="D45" s="31"/>
      <c r="E45" s="30"/>
      <c r="F45" s="35"/>
      <c r="G45" s="36"/>
      <c r="H45" s="36"/>
      <c r="I45" s="36"/>
      <c r="J45" s="36"/>
      <c r="K45" s="37"/>
      <c r="L45" s="36"/>
      <c r="M45" s="30"/>
      <c r="N45" s="113"/>
      <c r="O45" s="114"/>
      <c r="P45" s="103"/>
      <c r="Q45" s="117"/>
      <c r="R45" s="103"/>
      <c r="S45" s="103"/>
      <c r="T45" s="103"/>
      <c r="U45" s="103"/>
      <c r="V45" s="103"/>
      <c r="W45" s="103"/>
      <c r="X45" s="103"/>
      <c r="Y45" s="103"/>
    </row>
    <row r="46" spans="1:25" ht="17.5" x14ac:dyDescent="0.45">
      <c r="A46" s="28"/>
      <c r="B46" s="29"/>
      <c r="C46" s="30"/>
      <c r="D46" s="31"/>
      <c r="E46" s="30"/>
      <c r="F46" s="35"/>
      <c r="G46" s="36"/>
      <c r="H46" s="36"/>
      <c r="I46" s="36"/>
      <c r="J46" s="36"/>
      <c r="K46" s="37"/>
      <c r="L46" s="36"/>
      <c r="M46" s="30"/>
      <c r="N46" s="113"/>
      <c r="O46" s="114"/>
      <c r="P46" s="103"/>
      <c r="Q46" s="117"/>
      <c r="R46" s="103"/>
      <c r="S46" s="103"/>
      <c r="T46" s="103"/>
      <c r="U46" s="103"/>
      <c r="V46" s="103"/>
      <c r="W46" s="103"/>
      <c r="X46" s="103"/>
      <c r="Y46" s="103"/>
    </row>
    <row r="47" spans="1:25" ht="17.5" x14ac:dyDescent="0.45">
      <c r="A47" s="28"/>
      <c r="B47" s="29"/>
      <c r="C47" s="30"/>
      <c r="D47" s="31"/>
      <c r="E47" s="30"/>
      <c r="F47" s="35"/>
      <c r="G47" s="36"/>
      <c r="H47" s="36"/>
      <c r="I47" s="36"/>
      <c r="J47" s="36"/>
      <c r="K47" s="37"/>
      <c r="L47" s="36"/>
      <c r="M47" s="30"/>
      <c r="N47" s="113"/>
      <c r="O47" s="114"/>
      <c r="P47" s="103"/>
      <c r="Q47" s="117"/>
      <c r="R47" s="103"/>
      <c r="S47" s="103"/>
      <c r="T47" s="103"/>
      <c r="U47" s="103"/>
      <c r="V47" s="103"/>
      <c r="W47" s="103"/>
      <c r="X47" s="103"/>
      <c r="Y47" s="103"/>
    </row>
    <row r="48" spans="1:25" ht="17.5" x14ac:dyDescent="0.45">
      <c r="A48" s="28"/>
      <c r="B48" s="29"/>
      <c r="C48" s="30"/>
      <c r="D48" s="31"/>
      <c r="E48" s="30"/>
      <c r="F48" s="35"/>
      <c r="G48" s="36"/>
      <c r="H48" s="36"/>
      <c r="I48" s="36"/>
      <c r="J48" s="36"/>
      <c r="K48" s="37"/>
      <c r="L48" s="36"/>
      <c r="M48" s="30"/>
      <c r="N48" s="113"/>
      <c r="O48" s="114"/>
      <c r="P48" s="103"/>
      <c r="Q48" s="117"/>
      <c r="R48" s="103"/>
      <c r="S48" s="103"/>
      <c r="T48" s="103"/>
      <c r="U48" s="103"/>
      <c r="V48" s="103"/>
      <c r="W48" s="103"/>
      <c r="X48" s="103"/>
      <c r="Y48" s="103"/>
    </row>
    <row r="49" spans="1:25" ht="17.5" x14ac:dyDescent="0.45">
      <c r="A49" s="28"/>
      <c r="B49" s="29"/>
      <c r="C49" s="30"/>
      <c r="D49" s="31"/>
      <c r="E49" s="30"/>
      <c r="F49" s="35"/>
      <c r="G49" s="36"/>
      <c r="H49" s="36"/>
      <c r="I49" s="36"/>
      <c r="J49" s="36"/>
      <c r="K49" s="37"/>
      <c r="L49" s="36"/>
      <c r="M49" s="30"/>
      <c r="N49" s="113"/>
      <c r="O49" s="114"/>
      <c r="P49" s="103"/>
      <c r="Q49" s="117"/>
      <c r="R49" s="103"/>
      <c r="S49" s="103"/>
      <c r="T49" s="103"/>
      <c r="U49" s="103"/>
      <c r="V49" s="103"/>
      <c r="W49" s="103"/>
      <c r="X49" s="103"/>
      <c r="Y49" s="103"/>
    </row>
    <row r="50" spans="1:25" ht="17.5" x14ac:dyDescent="0.45">
      <c r="A50" s="28"/>
      <c r="B50" s="29"/>
      <c r="C50" s="30"/>
      <c r="D50" s="31"/>
      <c r="E50" s="30"/>
      <c r="F50" s="35"/>
      <c r="G50" s="36"/>
      <c r="H50" s="36"/>
      <c r="I50" s="36"/>
      <c r="J50" s="36"/>
      <c r="K50" s="37"/>
      <c r="L50" s="36"/>
      <c r="M50" s="30"/>
      <c r="N50" s="113"/>
      <c r="O50" s="114"/>
      <c r="P50" s="103"/>
      <c r="Q50" s="117"/>
      <c r="R50" s="103"/>
      <c r="S50" s="103"/>
      <c r="T50" s="103"/>
      <c r="U50" s="103"/>
      <c r="V50" s="103"/>
      <c r="W50" s="103"/>
      <c r="X50" s="103"/>
      <c r="Y50" s="103"/>
    </row>
    <row r="51" spans="1:25" ht="17.5" x14ac:dyDescent="0.45">
      <c r="A51" s="28"/>
      <c r="B51" s="29"/>
      <c r="C51" s="30"/>
      <c r="D51" s="31"/>
      <c r="E51" s="30"/>
      <c r="F51" s="35"/>
      <c r="G51" s="36"/>
      <c r="H51" s="36"/>
      <c r="I51" s="36"/>
      <c r="J51" s="36"/>
      <c r="K51" s="37"/>
      <c r="L51" s="36"/>
      <c r="M51" s="30"/>
      <c r="N51" s="113"/>
      <c r="O51" s="114"/>
      <c r="P51" s="103"/>
      <c r="Q51" s="117"/>
      <c r="R51" s="103"/>
      <c r="S51" s="103"/>
      <c r="T51" s="103"/>
      <c r="U51" s="103"/>
      <c r="V51" s="103"/>
      <c r="W51" s="103"/>
      <c r="X51" s="103"/>
      <c r="Y51" s="103"/>
    </row>
    <row r="52" spans="1:25" ht="17.5" x14ac:dyDescent="0.45">
      <c r="A52" s="28"/>
      <c r="B52" s="29"/>
      <c r="C52" s="30"/>
      <c r="D52" s="31"/>
      <c r="E52" s="30"/>
      <c r="F52" s="35"/>
      <c r="G52" s="36"/>
      <c r="H52" s="36"/>
      <c r="I52" s="36"/>
      <c r="J52" s="36"/>
      <c r="K52" s="37"/>
      <c r="L52" s="36"/>
      <c r="M52" s="30"/>
      <c r="N52" s="113"/>
      <c r="O52" s="114"/>
      <c r="P52" s="103"/>
      <c r="Q52" s="117"/>
      <c r="R52" s="103"/>
      <c r="S52" s="103"/>
      <c r="T52" s="103"/>
      <c r="U52" s="103"/>
      <c r="V52" s="103"/>
      <c r="W52" s="103"/>
      <c r="X52" s="103"/>
      <c r="Y52" s="103"/>
    </row>
    <row r="53" spans="1:25" ht="17.5" x14ac:dyDescent="0.45">
      <c r="A53" s="28"/>
      <c r="B53" s="29"/>
      <c r="C53" s="30"/>
      <c r="D53" s="31"/>
      <c r="E53" s="30"/>
      <c r="F53" s="35"/>
      <c r="G53" s="36"/>
      <c r="H53" s="36"/>
      <c r="I53" s="36"/>
      <c r="J53" s="36"/>
      <c r="K53" s="37"/>
      <c r="L53" s="36"/>
      <c r="M53" s="30"/>
      <c r="N53" s="113"/>
      <c r="O53" s="114"/>
      <c r="P53" s="103"/>
      <c r="Q53" s="117"/>
      <c r="R53" s="103"/>
      <c r="S53" s="103"/>
      <c r="T53" s="103"/>
      <c r="U53" s="103"/>
      <c r="V53" s="103"/>
      <c r="W53" s="103"/>
      <c r="X53" s="103"/>
      <c r="Y53" s="103"/>
    </row>
    <row r="54" spans="1:25" ht="17.5" x14ac:dyDescent="0.45">
      <c r="A54" s="28"/>
      <c r="B54" s="29"/>
      <c r="C54" s="30"/>
      <c r="D54" s="31"/>
      <c r="E54" s="30"/>
      <c r="F54" s="35"/>
      <c r="G54" s="36"/>
      <c r="H54" s="36"/>
      <c r="I54" s="36"/>
      <c r="J54" s="36"/>
      <c r="K54" s="37"/>
      <c r="L54" s="36"/>
      <c r="M54" s="30"/>
      <c r="N54" s="113"/>
      <c r="O54" s="114"/>
      <c r="P54" s="103"/>
      <c r="Q54" s="117"/>
      <c r="R54" s="103"/>
      <c r="S54" s="103"/>
      <c r="T54" s="103"/>
      <c r="U54" s="103"/>
      <c r="V54" s="103"/>
      <c r="W54" s="103"/>
      <c r="X54" s="103"/>
      <c r="Y54" s="103"/>
    </row>
    <row r="55" spans="1:25" ht="17.5" x14ac:dyDescent="0.45">
      <c r="A55" s="28"/>
      <c r="B55" s="29"/>
      <c r="C55" s="30"/>
      <c r="D55" s="31"/>
      <c r="E55" s="30"/>
      <c r="F55" s="35"/>
      <c r="G55" s="36"/>
      <c r="H55" s="36"/>
      <c r="I55" s="36"/>
      <c r="J55" s="36"/>
      <c r="K55" s="37"/>
      <c r="L55" s="36"/>
      <c r="M55" s="30"/>
      <c r="N55" s="113"/>
      <c r="O55" s="114"/>
      <c r="P55" s="103"/>
      <c r="Q55" s="117"/>
      <c r="R55" s="103"/>
      <c r="S55" s="103"/>
      <c r="T55" s="103"/>
      <c r="U55" s="103"/>
      <c r="V55" s="103"/>
      <c r="W55" s="103"/>
      <c r="X55" s="103"/>
      <c r="Y55" s="103"/>
    </row>
    <row r="56" spans="1:25" ht="17.5" x14ac:dyDescent="0.45">
      <c r="A56" s="28"/>
      <c r="B56" s="29"/>
      <c r="C56" s="30"/>
      <c r="D56" s="31"/>
      <c r="E56" s="30"/>
      <c r="F56" s="35"/>
      <c r="G56" s="36"/>
      <c r="H56" s="36"/>
      <c r="I56" s="36"/>
      <c r="J56" s="36"/>
      <c r="K56" s="37"/>
      <c r="L56" s="36"/>
      <c r="M56" s="30"/>
      <c r="N56" s="113"/>
      <c r="O56" s="114"/>
      <c r="P56" s="103"/>
      <c r="Q56" s="117"/>
      <c r="R56" s="103"/>
      <c r="S56" s="103"/>
      <c r="T56" s="103"/>
      <c r="U56" s="103"/>
      <c r="V56" s="103"/>
      <c r="W56" s="103"/>
      <c r="X56" s="103"/>
      <c r="Y56" s="103"/>
    </row>
    <row r="57" spans="1:25" ht="17.5" x14ac:dyDescent="0.45">
      <c r="A57" s="28"/>
      <c r="B57" s="29"/>
      <c r="C57" s="30"/>
      <c r="D57" s="31"/>
      <c r="E57" s="30"/>
      <c r="F57" s="35"/>
      <c r="G57" s="36"/>
      <c r="H57" s="36"/>
      <c r="I57" s="36"/>
      <c r="J57" s="36"/>
      <c r="K57" s="37"/>
      <c r="L57" s="36"/>
      <c r="M57" s="30"/>
      <c r="N57" s="113"/>
      <c r="O57" s="114"/>
      <c r="P57" s="103"/>
      <c r="Q57" s="117"/>
      <c r="R57" s="103"/>
      <c r="S57" s="103"/>
      <c r="T57" s="103"/>
      <c r="U57" s="103"/>
      <c r="V57" s="103"/>
      <c r="W57" s="103"/>
      <c r="X57" s="103"/>
      <c r="Y57" s="103"/>
    </row>
    <row r="58" spans="1:25" ht="17.5" x14ac:dyDescent="0.45">
      <c r="A58" s="28"/>
      <c r="B58" s="29"/>
      <c r="C58" s="30"/>
      <c r="D58" s="31"/>
      <c r="E58" s="30"/>
      <c r="F58" s="35"/>
      <c r="G58" s="36"/>
      <c r="H58" s="36"/>
      <c r="I58" s="36"/>
      <c r="J58" s="36"/>
      <c r="K58" s="37"/>
      <c r="L58" s="36"/>
      <c r="M58" s="30"/>
      <c r="N58" s="113"/>
      <c r="O58" s="114"/>
      <c r="P58" s="103"/>
      <c r="Q58" s="117"/>
      <c r="R58" s="103"/>
      <c r="S58" s="103"/>
      <c r="T58" s="103"/>
      <c r="U58" s="103"/>
      <c r="V58" s="103"/>
      <c r="W58" s="103"/>
      <c r="X58" s="103"/>
      <c r="Y58" s="103"/>
    </row>
    <row r="59" spans="1:25" ht="17.5" x14ac:dyDescent="0.45">
      <c r="A59" s="28"/>
      <c r="B59" s="29"/>
      <c r="C59" s="30"/>
      <c r="D59" s="31"/>
      <c r="E59" s="30"/>
      <c r="F59" s="35"/>
      <c r="G59" s="36"/>
      <c r="H59" s="36"/>
      <c r="I59" s="36"/>
      <c r="J59" s="36"/>
      <c r="K59" s="37"/>
      <c r="L59" s="36"/>
      <c r="M59" s="30"/>
      <c r="N59" s="113"/>
      <c r="O59" s="114"/>
      <c r="P59" s="103"/>
      <c r="Q59" s="117"/>
      <c r="R59" s="103"/>
      <c r="S59" s="103"/>
      <c r="T59" s="103"/>
      <c r="U59" s="103"/>
      <c r="V59" s="103"/>
      <c r="W59" s="103"/>
      <c r="X59" s="103"/>
      <c r="Y59" s="103"/>
    </row>
    <row r="60" spans="1:25" ht="17.5" x14ac:dyDescent="0.45">
      <c r="A60" s="103"/>
      <c r="B60" s="110"/>
      <c r="C60" s="111"/>
      <c r="D60" s="112"/>
      <c r="E60" s="111"/>
      <c r="F60" s="118"/>
      <c r="G60" s="119"/>
      <c r="H60" s="119"/>
      <c r="I60" s="119"/>
      <c r="J60" s="119"/>
      <c r="K60" s="120"/>
      <c r="L60" s="119"/>
      <c r="M60" s="111"/>
      <c r="N60" s="113"/>
      <c r="O60" s="114"/>
      <c r="P60" s="103"/>
      <c r="Q60" s="117"/>
      <c r="R60" s="103"/>
      <c r="S60" s="103"/>
      <c r="T60" s="103"/>
      <c r="U60" s="103"/>
      <c r="V60" s="103"/>
      <c r="W60" s="103"/>
      <c r="X60" s="103"/>
      <c r="Y60" s="103"/>
    </row>
    <row r="61" spans="1:25" ht="17.5" x14ac:dyDescent="0.45">
      <c r="A61" s="103"/>
      <c r="B61" s="110"/>
      <c r="C61" s="111"/>
      <c r="D61" s="112"/>
      <c r="E61" s="111"/>
      <c r="F61" s="118"/>
      <c r="G61" s="119"/>
      <c r="H61" s="119"/>
      <c r="I61" s="119"/>
      <c r="J61" s="119"/>
      <c r="K61" s="120"/>
      <c r="L61" s="119"/>
      <c r="M61" s="111"/>
      <c r="N61" s="113"/>
      <c r="O61" s="114"/>
      <c r="P61" s="103"/>
      <c r="Q61" s="117"/>
      <c r="R61" s="103"/>
      <c r="S61" s="103"/>
      <c r="T61" s="103"/>
      <c r="U61" s="103"/>
      <c r="V61" s="103"/>
      <c r="W61" s="103"/>
      <c r="X61" s="103"/>
      <c r="Y61" s="103"/>
    </row>
    <row r="62" spans="1:25" ht="17.5" x14ac:dyDescent="0.45">
      <c r="A62" s="103"/>
      <c r="B62" s="110"/>
      <c r="C62" s="111"/>
      <c r="D62" s="112"/>
      <c r="E62" s="111"/>
      <c r="F62" s="118"/>
      <c r="G62" s="119"/>
      <c r="H62" s="119"/>
      <c r="I62" s="119"/>
      <c r="J62" s="119"/>
      <c r="K62" s="120"/>
      <c r="L62" s="119"/>
      <c r="M62" s="111"/>
      <c r="N62" s="113"/>
      <c r="O62" s="114"/>
      <c r="P62" s="103"/>
      <c r="Q62" s="117"/>
      <c r="R62" s="103"/>
      <c r="S62" s="103"/>
      <c r="T62" s="103"/>
      <c r="U62" s="103"/>
      <c r="V62" s="103"/>
      <c r="W62" s="103"/>
      <c r="X62" s="103"/>
      <c r="Y62" s="103"/>
    </row>
    <row r="63" spans="1:25" ht="17.5" x14ac:dyDescent="0.45">
      <c r="A63" s="103"/>
      <c r="B63" s="110"/>
      <c r="C63" s="111"/>
      <c r="D63" s="112"/>
      <c r="E63" s="111"/>
      <c r="F63" s="118"/>
      <c r="G63" s="119"/>
      <c r="H63" s="119"/>
      <c r="I63" s="119"/>
      <c r="J63" s="119"/>
      <c r="K63" s="120"/>
      <c r="L63" s="119"/>
      <c r="M63" s="111"/>
      <c r="N63" s="113"/>
      <c r="O63" s="114"/>
      <c r="P63" s="103"/>
      <c r="Q63" s="117"/>
      <c r="R63" s="103"/>
      <c r="S63" s="103"/>
      <c r="T63" s="103"/>
      <c r="U63" s="103"/>
      <c r="V63" s="103"/>
      <c r="W63" s="103"/>
      <c r="X63" s="103"/>
      <c r="Y63" s="103"/>
    </row>
    <row r="64" spans="1:25" ht="17.5" x14ac:dyDescent="0.45">
      <c r="A64" s="103"/>
      <c r="B64" s="110"/>
      <c r="C64" s="111"/>
      <c r="D64" s="112"/>
      <c r="E64" s="111"/>
      <c r="F64" s="118"/>
      <c r="G64" s="119"/>
      <c r="H64" s="119"/>
      <c r="I64" s="119"/>
      <c r="J64" s="119"/>
      <c r="K64" s="120"/>
      <c r="L64" s="119"/>
      <c r="M64" s="111"/>
      <c r="N64" s="113"/>
      <c r="O64" s="114"/>
      <c r="P64" s="103"/>
      <c r="Q64" s="117"/>
      <c r="R64" s="103"/>
      <c r="S64" s="103"/>
      <c r="T64" s="103"/>
      <c r="U64" s="103"/>
      <c r="V64" s="103"/>
      <c r="W64" s="103"/>
      <c r="X64" s="103"/>
      <c r="Y64" s="103"/>
    </row>
    <row r="65" spans="1:25" ht="17.5" x14ac:dyDescent="0.45">
      <c r="A65" s="103"/>
      <c r="B65" s="110"/>
      <c r="C65" s="111"/>
      <c r="D65" s="112"/>
      <c r="E65" s="111"/>
      <c r="F65" s="118"/>
      <c r="G65" s="119"/>
      <c r="H65" s="119"/>
      <c r="I65" s="119"/>
      <c r="J65" s="119"/>
      <c r="K65" s="120"/>
      <c r="L65" s="119"/>
      <c r="M65" s="111"/>
      <c r="N65" s="113"/>
      <c r="O65" s="114"/>
      <c r="P65" s="103"/>
      <c r="Q65" s="117"/>
      <c r="R65" s="103"/>
      <c r="S65" s="103"/>
      <c r="T65" s="103"/>
      <c r="U65" s="103"/>
      <c r="V65" s="103"/>
      <c r="W65" s="103"/>
      <c r="X65" s="103"/>
      <c r="Y65" s="103"/>
    </row>
    <row r="66" spans="1:25" ht="17.5" x14ac:dyDescent="0.45">
      <c r="A66" s="103"/>
      <c r="B66" s="110"/>
      <c r="C66" s="111"/>
      <c r="D66" s="112"/>
      <c r="E66" s="111"/>
      <c r="F66" s="118"/>
      <c r="G66" s="119"/>
      <c r="H66" s="119"/>
      <c r="I66" s="119"/>
      <c r="J66" s="119"/>
      <c r="K66" s="120"/>
      <c r="L66" s="119"/>
      <c r="M66" s="111"/>
      <c r="N66" s="113"/>
      <c r="O66" s="114"/>
      <c r="P66" s="103"/>
      <c r="Q66" s="117"/>
      <c r="R66" s="103"/>
      <c r="S66" s="103"/>
      <c r="T66" s="103"/>
      <c r="U66" s="103"/>
      <c r="V66" s="103"/>
      <c r="W66" s="103"/>
      <c r="X66" s="103"/>
      <c r="Y66" s="103"/>
    </row>
    <row r="67" spans="1:25" ht="17.5" x14ac:dyDescent="0.45">
      <c r="A67" s="103"/>
      <c r="B67" s="110"/>
      <c r="C67" s="111"/>
      <c r="D67" s="112"/>
      <c r="E67" s="111"/>
      <c r="F67" s="118"/>
      <c r="G67" s="119"/>
      <c r="H67" s="119"/>
      <c r="I67" s="119"/>
      <c r="J67" s="119"/>
      <c r="K67" s="120"/>
      <c r="L67" s="119"/>
      <c r="M67" s="111"/>
      <c r="N67" s="113"/>
      <c r="O67" s="114"/>
      <c r="P67" s="103"/>
      <c r="Q67" s="117"/>
      <c r="R67" s="103"/>
      <c r="S67" s="103"/>
      <c r="T67" s="103"/>
      <c r="U67" s="103"/>
      <c r="V67" s="103"/>
      <c r="W67" s="103"/>
      <c r="X67" s="103"/>
      <c r="Y67" s="103"/>
    </row>
    <row r="68" spans="1:25" ht="17.5" x14ac:dyDescent="0.45">
      <c r="A68" s="103"/>
      <c r="B68" s="110"/>
      <c r="C68" s="111"/>
      <c r="D68" s="112"/>
      <c r="E68" s="111"/>
      <c r="F68" s="118"/>
      <c r="G68" s="119"/>
      <c r="H68" s="119"/>
      <c r="I68" s="119"/>
      <c r="J68" s="119"/>
      <c r="K68" s="120"/>
      <c r="L68" s="119"/>
      <c r="M68" s="111"/>
      <c r="N68" s="113"/>
      <c r="O68" s="114"/>
      <c r="P68" s="103"/>
      <c r="Q68" s="117"/>
      <c r="R68" s="103"/>
      <c r="S68" s="103"/>
      <c r="T68" s="103"/>
      <c r="U68" s="103"/>
      <c r="V68" s="103"/>
      <c r="W68" s="103"/>
      <c r="X68" s="103"/>
      <c r="Y68" s="103"/>
    </row>
    <row r="69" spans="1:25" ht="17.5" x14ac:dyDescent="0.45">
      <c r="A69" s="103"/>
      <c r="B69" s="110"/>
      <c r="C69" s="111"/>
      <c r="D69" s="112"/>
      <c r="E69" s="111"/>
      <c r="F69" s="118"/>
      <c r="G69" s="119"/>
      <c r="H69" s="119"/>
      <c r="I69" s="119"/>
      <c r="J69" s="119"/>
      <c r="K69" s="120"/>
      <c r="L69" s="119"/>
      <c r="M69" s="111"/>
      <c r="N69" s="113"/>
      <c r="O69" s="114"/>
      <c r="P69" s="103"/>
      <c r="Q69" s="117"/>
      <c r="R69" s="103"/>
      <c r="S69" s="103"/>
      <c r="T69" s="103"/>
      <c r="U69" s="103"/>
      <c r="V69" s="103"/>
      <c r="W69" s="103"/>
      <c r="X69" s="103"/>
      <c r="Y69" s="103"/>
    </row>
    <row r="70" spans="1:25" ht="17.5" x14ac:dyDescent="0.45">
      <c r="A70" s="103"/>
      <c r="B70" s="110"/>
      <c r="C70" s="111"/>
      <c r="D70" s="112"/>
      <c r="E70" s="111"/>
      <c r="F70" s="118"/>
      <c r="G70" s="119"/>
      <c r="H70" s="119"/>
      <c r="I70" s="119"/>
      <c r="J70" s="119"/>
      <c r="K70" s="120"/>
      <c r="L70" s="119"/>
      <c r="M70" s="111"/>
    </row>
  </sheetData>
  <sheetProtection insertRows="0" deleteRows="0" sort="0" autoFilter="0"/>
  <mergeCells count="2">
    <mergeCell ref="P3:V3"/>
    <mergeCell ref="A3:M4"/>
  </mergeCells>
  <conditionalFormatting sqref="J6:J26">
    <cfRule type="cellIs" dxfId="12" priority="30" operator="greaterThan">
      <formula>0</formula>
    </cfRule>
    <cfRule type="cellIs" dxfId="11" priority="31" operator="lessThan">
      <formula>0</formula>
    </cfRule>
  </conditionalFormatting>
  <conditionalFormatting sqref="L6:L26">
    <cfRule type="cellIs" dxfId="10" priority="32" operator="greaterThan">
      <formula>0</formula>
    </cfRule>
    <cfRule type="cellIs" dxfId="9" priority="33" operator="lessThan">
      <formula>0</formula>
    </cfRule>
  </conditionalFormatting>
  <conditionalFormatting sqref="R5">
    <cfRule type="iconSet" priority="1">
      <iconSet iconSet="3Arrows">
        <cfvo type="percent" val="0"/>
        <cfvo type="num" val="0"/>
        <cfvo type="num" val="0" gte="0"/>
      </iconSet>
    </cfRule>
    <cfRule type="iconSet" priority="29">
      <iconSet iconSet="3Arrows">
        <cfvo type="percent" val="0"/>
        <cfvo type="percent" val="0"/>
        <cfvo type="num" val="0" gte="0"/>
      </iconSet>
    </cfRule>
  </conditionalFormatting>
  <conditionalFormatting sqref="R5:R10">
    <cfRule type="cellIs" dxfId="8" priority="15" operator="lessThan">
      <formula>0</formula>
    </cfRule>
    <cfRule type="cellIs" dxfId="7" priority="16" operator="greaterThan">
      <formula>0</formula>
    </cfRule>
  </conditionalFormatting>
  <conditionalFormatting sqref="R6">
    <cfRule type="iconSet" priority="26">
      <iconSet iconSet="3Arrows">
        <cfvo type="percent" val="0"/>
        <cfvo type="num" val="0"/>
        <cfvo type="num" val="0" gte="0"/>
      </iconSet>
    </cfRule>
  </conditionalFormatting>
  <conditionalFormatting sqref="R7">
    <cfRule type="iconSet" priority="3">
      <iconSet iconSet="3Arrows">
        <cfvo type="percent" val="0"/>
        <cfvo type="num" val="0"/>
        <cfvo type="num" val="0" gte="0"/>
      </iconSet>
    </cfRule>
    <cfRule type="iconSet" priority="23">
      <iconSet iconSet="3Arrows">
        <cfvo type="percent" val="0"/>
        <cfvo type="percent" val="0"/>
        <cfvo type="num" val="0" gte="0"/>
      </iconSet>
    </cfRule>
  </conditionalFormatting>
  <conditionalFormatting sqref="R8">
    <cfRule type="iconSet" priority="2">
      <iconSet iconSet="3Arrows">
        <cfvo type="percent" val="0"/>
        <cfvo type="num" val="0"/>
        <cfvo type="num" val="0" gte="0"/>
      </iconSet>
    </cfRule>
    <cfRule type="iconSet" priority="20">
      <iconSet iconSet="3Arrows">
        <cfvo type="percent" val="0"/>
        <cfvo type="percent" val="0"/>
        <cfvo type="num" val="0" gte="0"/>
      </iconSet>
    </cfRule>
  </conditionalFormatting>
  <conditionalFormatting sqref="R9">
    <cfRule type="iconSet" priority="17">
      <iconSet iconSet="3Arrows">
        <cfvo type="percent" val="0"/>
        <cfvo type="num" val="0"/>
        <cfvo type="num" val="0" gte="0"/>
      </iconSet>
    </cfRule>
  </conditionalFormatting>
  <conditionalFormatting sqref="R10">
    <cfRule type="iconSet" priority="14">
      <iconSet iconSet="3Arrows">
        <cfvo type="percent" val="0"/>
        <cfvo type="num" val="0"/>
        <cfvo type="num" val="0" gte="0"/>
      </iconSet>
    </cfRule>
  </conditionalFormatting>
  <conditionalFormatting sqref="T5:T10"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T5:V10"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U5:U10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V5:V10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AA19">
    <cfRule type="iconSet" priority="8">
      <iconSet iconSet="3Arrows">
        <cfvo type="percent" val="0"/>
        <cfvo type="num" val="0"/>
        <cfvo type="num" val="0" gte="0"/>
      </iconSet>
    </cfRule>
  </conditionalFormatting>
  <dataValidations count="4">
    <dataValidation type="list" allowBlank="1" showInputMessage="1" showErrorMessage="1" sqref="M6:M26" xr:uid="{07B0056E-2054-48F5-82C3-FB9EF45E0CED}">
      <formula1>"Fintual, Webull"</formula1>
    </dataValidation>
    <dataValidation type="list" allowBlank="1" showInputMessage="1" showErrorMessage="1" sqref="D5:D1048576" xr:uid="{A785EE28-8477-49A8-BAF7-2260E9C56F16}">
      <formula1>"SPDR S&amp;P 500,Schwab Dividend,Schwab Growth"</formula1>
    </dataValidation>
    <dataValidation type="list" allowBlank="1" showInputMessage="1" showErrorMessage="1" sqref="E5:E1048576" xr:uid="{7AFC42FA-1A45-494C-A277-01C98022B366}">
      <formula1>"Compra,Dividendo,Venta"</formula1>
    </dataValidation>
    <dataValidation type="list" allowBlank="1" showInputMessage="1" showErrorMessage="1" sqref="C5:C1048576" xr:uid="{6A93788D-5C62-4ACC-94A0-4959AE1CC0CD}">
      <formula1>"SPYM,SCHD,SCHG"</formula1>
    </dataValidation>
  </dataValidations>
  <hyperlinks>
    <hyperlink ref="A1" location="'🏠 Inicio'!A1" display="🏠 Inicio" xr:uid="{0F42AD80-E9E6-4751-A7EC-C23D21EC10F1}"/>
    <hyperlink ref="B1" location="Portafolio!A1" display="📈 Portafolio" xr:uid="{EA077434-1B89-4CDF-9D6A-CE943589FB0E}"/>
    <hyperlink ref="C1" location="Dashboard!A1" display="📊 Dashboard" xr:uid="{F512013E-25AB-4702-9630-5400189468E7}"/>
    <hyperlink ref="D1" location="Historial!A1" display="📉 Historial" xr:uid="{822BF9CF-14AC-474C-B37F-2767A3CB83E5}"/>
    <hyperlink ref="E1" location="'Base de Datos'!A1" display="🗃️ Base de Datos" xr:uid="{1E844C0A-9113-4408-A368-69135B7F59E9}"/>
    <hyperlink ref="F1" location="'Graficos Dashboard'!A1" display="📊 Gráficos" xr:uid="{59F38FE3-04A9-46EC-9547-8CDFEBBF7355}"/>
    <hyperlink ref="G1" location="HHIReal!A1" display="🧩 HHI Real" xr:uid="{9F96988B-1D6A-4AE6-99C7-2E1458C56593}"/>
  </hyperlinks>
  <pageMargins left="0.7" right="0.7" top="0.75" bottom="0.75" header="0.3" footer="0.3"/>
  <pageSetup scale="33" orientation="landscape" r:id="rId1"/>
  <ignoredErrors>
    <ignoredError sqref="C5:E5" listDataValidation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86F1-7898-4246-A529-CD7FB28D8133}">
  <sheetPr codeName="Hoja9"/>
  <dimension ref="A1:AB810"/>
  <sheetViews>
    <sheetView showGridLines="0" zoomScaleNormal="100" workbookViewId="0">
      <selection activeCell="D1" sqref="D1"/>
    </sheetView>
  </sheetViews>
  <sheetFormatPr baseColWidth="10" defaultColWidth="20.7265625" defaultRowHeight="30" customHeight="1" x14ac:dyDescent="0.45"/>
  <cols>
    <col min="1" max="1" width="11.453125" style="16" customWidth="1"/>
    <col min="2" max="2" width="34.26953125" style="15" customWidth="1"/>
    <col min="3" max="4" width="19" style="13" customWidth="1"/>
    <col min="5" max="5" width="22.81640625" style="14" customWidth="1"/>
    <col min="6" max="6" width="12.26953125" style="15" customWidth="1"/>
    <col min="7" max="7" width="0" style="14" hidden="1" customWidth="1"/>
    <col min="8" max="8" width="1.1796875" style="14" hidden="1" customWidth="1"/>
    <col min="9" max="9" width="11.81640625" style="14" hidden="1" customWidth="1"/>
    <col min="10" max="10" width="11.453125" style="16" customWidth="1"/>
    <col min="11" max="11" width="40.1796875" style="17" customWidth="1"/>
    <col min="12" max="12" width="0.26953125" style="14" customWidth="1"/>
    <col min="13" max="13" width="19" style="14" customWidth="1"/>
    <col min="14" max="14" width="22.81640625" style="14" customWidth="1"/>
    <col min="15" max="15" width="20.7265625" style="14"/>
    <col min="16" max="16" width="19" style="14" customWidth="1"/>
    <col min="17" max="17" width="15.26953125" style="14" customWidth="1"/>
    <col min="18" max="16384" width="20.7265625" style="14"/>
  </cols>
  <sheetData>
    <row r="1" spans="1:28" ht="24" customHeight="1" x14ac:dyDescent="0.45">
      <c r="A1" s="91" t="s">
        <v>15</v>
      </c>
      <c r="B1" s="217" t="s">
        <v>16</v>
      </c>
      <c r="C1" s="217" t="s">
        <v>17</v>
      </c>
      <c r="D1" s="217" t="s">
        <v>18</v>
      </c>
      <c r="E1" s="217" t="s">
        <v>19</v>
      </c>
      <c r="F1" s="217" t="s">
        <v>20</v>
      </c>
      <c r="G1" s="93" t="s">
        <v>21</v>
      </c>
      <c r="H1" s="212"/>
      <c r="I1" s="212"/>
      <c r="J1" s="218"/>
      <c r="K1" s="219"/>
      <c r="L1" s="212"/>
      <c r="M1" s="220"/>
      <c r="N1" s="220"/>
      <c r="O1" s="220"/>
      <c r="P1" s="220"/>
      <c r="Q1" s="220"/>
      <c r="AA1" s="275"/>
      <c r="AB1" s="14" t="s">
        <v>4</v>
      </c>
    </row>
    <row r="2" spans="1:28" ht="30" customHeight="1" x14ac:dyDescent="0.45">
      <c r="A2" s="221"/>
      <c r="B2" s="221"/>
      <c r="C2" s="221"/>
      <c r="D2" s="221"/>
      <c r="E2" s="221"/>
      <c r="F2" s="221"/>
      <c r="G2" s="221"/>
      <c r="H2" s="220"/>
      <c r="I2" s="220"/>
      <c r="J2" s="222"/>
      <c r="K2" s="223"/>
      <c r="L2" s="220"/>
      <c r="M2" s="220"/>
      <c r="N2" s="220"/>
      <c r="O2" s="220"/>
      <c r="P2" s="220"/>
      <c r="Q2" s="220"/>
    </row>
    <row r="3" spans="1:28" ht="30" customHeight="1" x14ac:dyDescent="0.55000000000000004">
      <c r="A3" s="224"/>
      <c r="B3" s="225"/>
      <c r="C3" s="226"/>
      <c r="D3" s="226"/>
      <c r="E3" s="227"/>
      <c r="F3" s="225"/>
      <c r="G3" s="227"/>
      <c r="H3" s="227"/>
      <c r="I3" s="227"/>
      <c r="J3" s="224"/>
      <c r="K3" s="228"/>
      <c r="L3" s="227"/>
      <c r="M3" s="316" t="s">
        <v>184</v>
      </c>
      <c r="N3" s="301"/>
      <c r="O3" s="227"/>
      <c r="P3" s="314" t="s">
        <v>185</v>
      </c>
      <c r="Q3" s="301"/>
      <c r="AB3" s="14" t="s">
        <v>186</v>
      </c>
    </row>
    <row r="4" spans="1:28" ht="30" customHeight="1" x14ac:dyDescent="0.7">
      <c r="A4" s="315" t="s">
        <v>187</v>
      </c>
      <c r="B4" s="309"/>
      <c r="C4" s="226"/>
      <c r="D4" s="226"/>
      <c r="E4" s="227"/>
      <c r="F4" s="225"/>
      <c r="G4" s="227"/>
      <c r="H4" s="227"/>
      <c r="I4" s="227"/>
      <c r="J4" s="224"/>
      <c r="K4" s="228"/>
      <c r="L4" s="227"/>
      <c r="M4" s="158" t="s">
        <v>188</v>
      </c>
      <c r="N4" s="229" cm="1">
        <f t="array" aca="1" ref="N4" ca="1">SUMPRODUCT((Tabla16[Peso Total])^2)*10000</f>
        <v>184.65694306853706</v>
      </c>
      <c r="O4" s="227"/>
      <c r="P4" s="181" t="s">
        <v>189</v>
      </c>
      <c r="Q4" s="230">
        <f>ROWS(Tablaholdings[])-1</f>
        <v>798</v>
      </c>
      <c r="AB4" s="14" t="s">
        <v>190</v>
      </c>
    </row>
    <row r="5" spans="1:28" ht="30" customHeight="1" x14ac:dyDescent="0.55000000000000004">
      <c r="A5" s="104" t="s">
        <v>191</v>
      </c>
      <c r="B5" s="104" t="s">
        <v>32</v>
      </c>
      <c r="C5" s="226"/>
      <c r="D5" s="226"/>
      <c r="E5" s="227"/>
      <c r="F5" s="225"/>
      <c r="G5" s="227"/>
      <c r="H5" s="227"/>
      <c r="I5" s="227"/>
      <c r="J5" s="224"/>
      <c r="K5" s="228"/>
      <c r="L5" s="227"/>
      <c r="M5" s="231" t="s">
        <v>112</v>
      </c>
      <c r="N5" s="230" t="str">
        <f ca="1">IF(N4&lt;1500,"✅ Muy Diversificado",IF(N4&lt;2500,"⚠️ Moderadamente Concentrado","🔴 Altamente Concentrado"))</f>
        <v>✅ Muy Diversificado</v>
      </c>
      <c r="O5" s="227"/>
      <c r="P5" s="181" t="s">
        <v>192</v>
      </c>
      <c r="Q5" s="230">
        <f ca="1">COUNTA(_xlfn.ANCHORARRAY($S$12))-IF(ISNUMBER(MATCH("-",_xlfn.ANCHORARRAY($S$12),0)),1,0)</f>
        <v>629</v>
      </c>
      <c r="AB5" s="14" t="s">
        <v>193</v>
      </c>
    </row>
    <row r="6" spans="1:28" ht="30" customHeight="1" x14ac:dyDescent="0.55000000000000004">
      <c r="A6" s="232" t="s">
        <v>37</v>
      </c>
      <c r="B6" s="66">
        <f ca="1">Portafolio!J6</f>
        <v>0.40155475343664293</v>
      </c>
      <c r="C6" s="226"/>
      <c r="D6" s="226"/>
      <c r="E6" s="227"/>
      <c r="F6" s="225"/>
      <c r="G6" s="227"/>
      <c r="H6" s="227"/>
      <c r="I6" s="227"/>
      <c r="J6" s="224"/>
      <c r="K6" s="228"/>
      <c r="L6" s="227"/>
      <c r="M6" s="317" t="s">
        <v>194</v>
      </c>
      <c r="N6" s="318"/>
      <c r="O6" s="227"/>
      <c r="P6" s="181" t="s">
        <v>195</v>
      </c>
      <c r="Q6" s="230" t="str">
        <f ca="1">J12</f>
        <v>NVDA</v>
      </c>
      <c r="AB6" s="14" t="s">
        <v>196</v>
      </c>
    </row>
    <row r="7" spans="1:28" ht="30" customHeight="1" x14ac:dyDescent="0.55000000000000004">
      <c r="A7" s="232" t="s">
        <v>38</v>
      </c>
      <c r="B7" s="66">
        <f ca="1">Portafolio!J7</f>
        <v>0.30013645278446444</v>
      </c>
      <c r="C7" s="226"/>
      <c r="D7" s="226"/>
      <c r="E7" s="227"/>
      <c r="F7" s="225"/>
      <c r="G7" s="227"/>
      <c r="H7" s="227"/>
      <c r="I7" s="227"/>
      <c r="J7" s="224"/>
      <c r="K7" s="228"/>
      <c r="L7" s="227"/>
      <c r="M7" s="319" t="s">
        <v>197</v>
      </c>
      <c r="N7" s="320"/>
      <c r="O7" s="227"/>
      <c r="P7" s="181" t="s">
        <v>198</v>
      </c>
      <c r="Q7" s="233">
        <f ca="1">K12</f>
        <v>7.1659470805020012E-2</v>
      </c>
      <c r="AB7" s="14" t="s">
        <v>199</v>
      </c>
    </row>
    <row r="8" spans="1:28" ht="30" customHeight="1" x14ac:dyDescent="0.55000000000000004">
      <c r="A8" s="232" t="s">
        <v>39</v>
      </c>
      <c r="B8" s="66">
        <f ca="1">Portafolio!J8</f>
        <v>0.29830879377889263</v>
      </c>
      <c r="C8" s="226"/>
      <c r="D8" s="226"/>
      <c r="E8" s="227"/>
      <c r="F8" s="225"/>
      <c r="G8" s="227"/>
      <c r="H8" s="227"/>
      <c r="I8" s="227"/>
      <c r="J8" s="224"/>
      <c r="K8" s="228"/>
      <c r="L8" s="227"/>
      <c r="M8" s="227"/>
      <c r="N8" s="227"/>
      <c r="O8" s="227"/>
      <c r="P8" s="183" t="s">
        <v>200</v>
      </c>
      <c r="Q8" s="234">
        <f ca="1">SUM(K12:K16)</f>
        <v>0.22967131244623057</v>
      </c>
      <c r="AB8" s="14" t="s">
        <v>201</v>
      </c>
    </row>
    <row r="9" spans="1:28" ht="30" customHeight="1" x14ac:dyDescent="0.55000000000000004">
      <c r="A9" s="224"/>
      <c r="B9" s="225"/>
      <c r="C9" s="226"/>
      <c r="D9" s="226"/>
      <c r="E9" s="227"/>
      <c r="F9" s="225"/>
      <c r="G9" s="227"/>
      <c r="H9" s="227"/>
      <c r="I9" s="227"/>
      <c r="J9" s="224"/>
      <c r="K9" s="228"/>
      <c r="L9" s="227"/>
      <c r="M9" s="227"/>
      <c r="N9" s="227"/>
      <c r="O9" s="227"/>
      <c r="P9" s="227"/>
      <c r="Q9" s="227"/>
    </row>
    <row r="10" spans="1:28" ht="30" customHeight="1" x14ac:dyDescent="0.55000000000000004">
      <c r="A10" s="315" t="s">
        <v>202</v>
      </c>
      <c r="B10" s="309"/>
      <c r="C10" s="309"/>
      <c r="D10" s="309"/>
      <c r="E10" s="309"/>
      <c r="F10" s="309"/>
      <c r="G10" s="227"/>
      <c r="H10" s="227"/>
      <c r="I10" s="227"/>
      <c r="J10" s="315" t="s">
        <v>203</v>
      </c>
      <c r="K10" s="309"/>
      <c r="L10" s="227"/>
      <c r="M10" s="235"/>
      <c r="N10" s="235"/>
      <c r="O10" s="227"/>
      <c r="P10" s="227"/>
      <c r="Q10" s="227"/>
      <c r="S10" s="255" t="s">
        <v>204</v>
      </c>
      <c r="AB10" s="14" t="s">
        <v>205</v>
      </c>
    </row>
    <row r="11" spans="1:28" s="18" customFormat="1" ht="30" customHeight="1" x14ac:dyDescent="0.55000000000000004">
      <c r="A11" s="236" t="s">
        <v>82</v>
      </c>
      <c r="B11" s="236" t="s">
        <v>206</v>
      </c>
      <c r="C11" s="236" t="s">
        <v>207</v>
      </c>
      <c r="D11" s="236" t="s">
        <v>208</v>
      </c>
      <c r="E11" s="236" t="s">
        <v>209</v>
      </c>
      <c r="F11" s="236" t="s">
        <v>191</v>
      </c>
      <c r="G11" s="235"/>
      <c r="H11" s="235"/>
      <c r="I11" s="235"/>
      <c r="J11" s="236" t="s">
        <v>82</v>
      </c>
      <c r="K11" s="237" t="s">
        <v>210</v>
      </c>
      <c r="L11" s="235"/>
      <c r="M11" s="227"/>
      <c r="N11" s="227"/>
      <c r="O11" s="235"/>
      <c r="P11" s="235"/>
      <c r="Q11" s="235"/>
      <c r="S11" s="256" t="s">
        <v>211</v>
      </c>
      <c r="U11" s="275"/>
      <c r="AB11" s="18" t="s">
        <v>212</v>
      </c>
    </row>
    <row r="12" spans="1:28" ht="30" customHeight="1" x14ac:dyDescent="0.55000000000000004">
      <c r="A12" s="238" t="s">
        <v>213</v>
      </c>
      <c r="B12" s="239" t="s">
        <v>214</v>
      </c>
      <c r="C12" s="240">
        <v>4.9674000000000003E-2</v>
      </c>
      <c r="D12" s="241">
        <f t="shared" ref="D12:D75" si="0">C12/100</f>
        <v>4.9674000000000007E-4</v>
      </c>
      <c r="E12" s="21">
        <f t="shared" ref="E12:E75" ca="1" si="1">C12 * VLOOKUP(F12, $A$6:$B$8, 2, FALSE)</f>
        <v>1.9946830822211801E-2</v>
      </c>
      <c r="F12" s="242" t="s">
        <v>37</v>
      </c>
      <c r="G12" s="243"/>
      <c r="H12" s="243"/>
      <c r="I12" s="243"/>
      <c r="J12" s="244" t="str" cm="1">
        <f t="array" aca="1" ref="J12" ca="1">IFERROR(INDEX(_xlfn.ANCHORARRAY($S$12),ROW()-12+1),"")</f>
        <v>NVDA</v>
      </c>
      <c r="K12" s="67">
        <f ca="1">IF(Tabla16[[#This Row],[Ticker]]="",0,SUMIF(Tablaholdings[Ticker],Tabla16[[#This Row],[Ticker]],Tablaholdings[Peso Real en Portafolio])/100)</f>
        <v>7.1659470805020012E-2</v>
      </c>
      <c r="L12" s="243"/>
      <c r="M12" s="243"/>
      <c r="N12" s="243"/>
      <c r="O12" s="243"/>
      <c r="P12" s="243"/>
      <c r="Q12" s="243"/>
      <c r="S12" s="227" t="str" cm="1">
        <f t="array" aca="1" ref="S12:S641" ca="1">_xlfn.LET(_xlpm.u,_xlfn.UNIQUE(Tablaholdings[Ticker]),_xlpm.p,SUMIF(Tablaholdings[Ticker],_xlpm.u,Tablaholdings[Peso Real en Portafolio]),_xlfn.SORTBY(_xlpm.u,_xlpm.p,-1))</f>
        <v>NVDA</v>
      </c>
      <c r="U12" s="275"/>
      <c r="AB12" s="14" t="s">
        <v>215</v>
      </c>
    </row>
    <row r="13" spans="1:28" ht="30" customHeight="1" x14ac:dyDescent="0.55000000000000004">
      <c r="A13" s="238" t="s">
        <v>216</v>
      </c>
      <c r="B13" s="239" t="s">
        <v>217</v>
      </c>
      <c r="C13" s="240">
        <v>4.9979000000000003E-2</v>
      </c>
      <c r="D13" s="241">
        <f t="shared" si="0"/>
        <v>4.9979000000000006E-4</v>
      </c>
      <c r="E13" s="21">
        <f t="shared" ca="1" si="1"/>
        <v>2.006930502200998E-2</v>
      </c>
      <c r="F13" s="242" t="s">
        <v>37</v>
      </c>
      <c r="G13" s="243"/>
      <c r="H13" s="243"/>
      <c r="I13" s="243"/>
      <c r="J13" s="244" t="str" cm="1">
        <f t="array" aca="1" ref="J13" ca="1">IFERROR(INDEX(_xlfn.ANCHORARRAY($S$12),ROW()-12+1),"")</f>
        <v>AAPL</v>
      </c>
      <c r="K13" s="67">
        <f ca="1">IF(Tabla16[[#This Row],[Ticker]]="",0,SUMIF(Tablaholdings[Ticker],Tabla16[[#This Row],[Ticker]],Tablaholdings[Peso Real en Portafolio])/100)</f>
        <v>5.5982165918751485E-2</v>
      </c>
      <c r="L13" s="243"/>
      <c r="M13" s="243"/>
      <c r="N13" s="243"/>
      <c r="O13" s="243"/>
      <c r="P13" s="243"/>
      <c r="Q13" s="243"/>
      <c r="S13" s="227" t="str">
        <f ca="1"/>
        <v>AAPL</v>
      </c>
      <c r="U13" s="275"/>
      <c r="AB13" s="14" t="s">
        <v>218</v>
      </c>
    </row>
    <row r="14" spans="1:28" ht="30" customHeight="1" x14ac:dyDescent="0.55000000000000004">
      <c r="A14" s="238" t="s">
        <v>219</v>
      </c>
      <c r="B14" s="239" t="s">
        <v>220</v>
      </c>
      <c r="C14" s="240">
        <v>2.9591500100000001E-2</v>
      </c>
      <c r="D14" s="241">
        <f t="shared" si="0"/>
        <v>2.95915001E-4</v>
      </c>
      <c r="E14" s="21">
        <f t="shared" ca="1" si="1"/>
        <v>8.827404700938981E-3</v>
      </c>
      <c r="F14" s="242" t="s">
        <v>39</v>
      </c>
      <c r="G14" s="243"/>
      <c r="H14" s="243"/>
      <c r="I14" s="243"/>
      <c r="J14" s="244" t="str" cm="1">
        <f t="array" aca="1" ref="J14" ca="1">IFERROR(INDEX(_xlfn.ANCHORARRAY($S$12),ROW()-12+1),"")</f>
        <v>MSFT</v>
      </c>
      <c r="K14" s="67">
        <f ca="1">IF(Tabla16[[#This Row],[Ticker]]="",0,SUMIF(Tablaholdings[Ticker],Tabla16[[#This Row],[Ticker]],Tablaholdings[Peso Real en Portafolio])/100)</f>
        <v>3.8632401360660158E-2</v>
      </c>
      <c r="L14" s="243"/>
      <c r="M14" s="243"/>
      <c r="N14" s="243"/>
      <c r="O14" s="243"/>
      <c r="P14" s="243"/>
      <c r="Q14" s="243"/>
      <c r="S14" s="227" t="str">
        <f ca="1"/>
        <v>MSFT</v>
      </c>
      <c r="U14" s="275"/>
      <c r="AB14" s="14" t="s">
        <v>221</v>
      </c>
    </row>
    <row r="15" spans="1:28" ht="30" customHeight="1" x14ac:dyDescent="0.55000000000000004">
      <c r="A15" s="238" t="s">
        <v>222</v>
      </c>
      <c r="B15" s="239" t="s">
        <v>223</v>
      </c>
      <c r="C15" s="240">
        <v>9.5164716230999993</v>
      </c>
      <c r="D15" s="241">
        <f t="shared" si="0"/>
        <v>9.5164716230999993E-2</v>
      </c>
      <c r="E15" s="21">
        <f t="shared" ca="1" si="1"/>
        <v>2.8388471709180214</v>
      </c>
      <c r="F15" s="242" t="s">
        <v>39</v>
      </c>
      <c r="G15" s="243"/>
      <c r="H15" s="243"/>
      <c r="I15" s="243"/>
      <c r="J15" s="244" t="str" cm="1">
        <f t="array" aca="1" ref="J15" ca="1">IFERROR(INDEX(_xlfn.ANCHORARRAY($S$12),ROW()-12+1),"")</f>
        <v>AMZN</v>
      </c>
      <c r="K15" s="67">
        <f ca="1">IF(Tabla16[[#This Row],[Ticker]]="",0,SUMIF(Tablaholdings[Ticker],Tabla16[[#This Row],[Ticker]],Tablaholdings[Peso Real en Portafolio])/100)</f>
        <v>3.3516096610814533E-2</v>
      </c>
      <c r="L15" s="243"/>
      <c r="M15" s="243"/>
      <c r="N15" s="243"/>
      <c r="O15" s="243"/>
      <c r="P15" s="243"/>
      <c r="Q15" s="243"/>
      <c r="S15" s="227" t="str">
        <f ca="1"/>
        <v>AMZN</v>
      </c>
      <c r="AB15" s="14" t="s">
        <v>224</v>
      </c>
    </row>
    <row r="16" spans="1:28" ht="30" customHeight="1" x14ac:dyDescent="0.55000000000000004">
      <c r="A16" s="238" t="s">
        <v>222</v>
      </c>
      <c r="B16" s="239" t="s">
        <v>223</v>
      </c>
      <c r="C16" s="240">
        <v>6.8717139999999999</v>
      </c>
      <c r="D16" s="241">
        <f t="shared" si="0"/>
        <v>6.8717139999999996E-2</v>
      </c>
      <c r="E16" s="21">
        <f t="shared" ca="1" si="1"/>
        <v>2.7593694209571273</v>
      </c>
      <c r="F16" s="242" t="s">
        <v>37</v>
      </c>
      <c r="G16" s="243"/>
      <c r="H16" s="243"/>
      <c r="I16" s="243"/>
      <c r="J16" s="244" t="str" cm="1">
        <f t="array" aca="1" ref="J16" ca="1">IFERROR(INDEX(_xlfn.ANCHORARRAY($S$12),ROW()-12+1),"")</f>
        <v>GOOGL</v>
      </c>
      <c r="K16" s="67">
        <f ca="1">IF(Tabla16[[#This Row],[Ticker]]="",0,SUMIF(Tablaholdings[Ticker],Tabla16[[#This Row],[Ticker]],Tablaholdings[Peso Real en Portafolio])/100)</f>
        <v>2.9881177750984391E-2</v>
      </c>
      <c r="L16" s="243"/>
      <c r="M16" s="243"/>
      <c r="N16" s="243"/>
      <c r="O16" s="243"/>
      <c r="P16" s="243"/>
      <c r="Q16" s="243"/>
      <c r="S16" s="227" t="str">
        <f ca="1"/>
        <v>GOOGL</v>
      </c>
      <c r="AB16" s="14" t="s">
        <v>225</v>
      </c>
    </row>
    <row r="17" spans="1:28" ht="30" customHeight="1" x14ac:dyDescent="0.55000000000000004">
      <c r="A17" s="238" t="s">
        <v>226</v>
      </c>
      <c r="B17" s="239" t="s">
        <v>227</v>
      </c>
      <c r="C17" s="240">
        <v>0.57710899999999998</v>
      </c>
      <c r="D17" s="241">
        <f t="shared" si="0"/>
        <v>5.7710899999999996E-3</v>
      </c>
      <c r="E17" s="21">
        <f t="shared" ca="1" si="1"/>
        <v>0.23174086220106757</v>
      </c>
      <c r="F17" s="242" t="s">
        <v>37</v>
      </c>
      <c r="G17" s="243"/>
      <c r="H17" s="243"/>
      <c r="I17" s="243"/>
      <c r="J17" s="244" t="str" cm="1">
        <f t="array" aca="1" ref="J17" ca="1">IFERROR(INDEX(_xlfn.ANCHORARRAY($S$12),ROW()-12+1),"")</f>
        <v>AVGO</v>
      </c>
      <c r="K17" s="67">
        <f ca="1">IF(Tabla16[[#This Row],[Ticker]]="",0,SUMIF(Tablaholdings[Ticker],Tabla16[[#This Row],[Ticker]],Tablaholdings[Peso Real en Portafolio])/100)</f>
        <v>2.5959695928409961E-2</v>
      </c>
      <c r="L17" s="243"/>
      <c r="M17" s="243"/>
      <c r="N17" s="243"/>
      <c r="O17" s="243"/>
      <c r="P17" s="243"/>
      <c r="Q17" s="243"/>
      <c r="S17" s="227" t="str">
        <f ca="1"/>
        <v>AVGO</v>
      </c>
      <c r="AB17" s="14" t="s">
        <v>228</v>
      </c>
    </row>
    <row r="18" spans="1:28" ht="30" customHeight="1" x14ac:dyDescent="0.55000000000000004">
      <c r="A18" s="238" t="s">
        <v>229</v>
      </c>
      <c r="B18" s="239" t="s">
        <v>230</v>
      </c>
      <c r="C18" s="240">
        <v>0.2014436654</v>
      </c>
      <c r="D18" s="241">
        <f t="shared" si="0"/>
        <v>2.0144366540000001E-3</v>
      </c>
      <c r="E18" s="21">
        <f t="shared" ca="1" si="1"/>
        <v>6.0092416839872848E-2</v>
      </c>
      <c r="F18" s="242" t="s">
        <v>39</v>
      </c>
      <c r="G18" s="243"/>
      <c r="H18" s="243"/>
      <c r="I18" s="243"/>
      <c r="J18" s="244" t="str" cm="1">
        <f t="array" aca="1" ref="J18" ca="1">IFERROR(INDEX(_xlfn.ANCHORARRAY($S$12),ROW()-12+1),"")</f>
        <v>GOOG</v>
      </c>
      <c r="K18" s="67">
        <f ca="1">IF(Tabla16[[#This Row],[Ticker]]="",0,SUMIF(Tablaholdings[Ticker],Tabla16[[#This Row],[Ticker]],Tablaholdings[Peso Real en Portafolio])/100)</f>
        <v>2.3777520327982346E-2</v>
      </c>
      <c r="L18" s="243"/>
      <c r="M18" s="243"/>
      <c r="N18" s="243"/>
      <c r="O18" s="243"/>
      <c r="P18" s="243"/>
      <c r="Q18" s="243"/>
      <c r="S18" s="227" t="str">
        <f ca="1"/>
        <v>GOOG</v>
      </c>
      <c r="AB18" s="14" t="s">
        <v>231</v>
      </c>
    </row>
    <row r="19" spans="1:28" ht="30" customHeight="1" x14ac:dyDescent="0.55000000000000004">
      <c r="A19" s="238" t="s">
        <v>229</v>
      </c>
      <c r="B19" s="239" t="s">
        <v>230</v>
      </c>
      <c r="C19" s="240">
        <v>8.8107000000000005E-2</v>
      </c>
      <c r="D19" s="241">
        <f t="shared" si="0"/>
        <v>8.8107000000000007E-4</v>
      </c>
      <c r="E19" s="21">
        <f t="shared" ca="1" si="1"/>
        <v>3.5379784661042302E-2</v>
      </c>
      <c r="F19" s="242" t="s">
        <v>37</v>
      </c>
      <c r="G19" s="243"/>
      <c r="H19" s="243"/>
      <c r="I19" s="243"/>
      <c r="J19" s="244" t="str" cm="1">
        <f t="array" aca="1" ref="J19" ca="1">IFERROR(INDEX(_xlfn.ANCHORARRAY($S$12),ROW()-12+1),"")</f>
        <v>UNH</v>
      </c>
      <c r="K19" s="67">
        <f ca="1">IF(Tabla16[[#This Row],[Ticker]]="",0,SUMIF(Tablaholdings[Ticker],Tabla16[[#This Row],[Ticker]],Tablaholdings[Peso Real en Portafolio])/100)</f>
        <v>2.2487001899135675E-2</v>
      </c>
      <c r="L19" s="243"/>
      <c r="M19" s="243"/>
      <c r="N19" s="243"/>
      <c r="O19" s="243"/>
      <c r="P19" s="243"/>
      <c r="Q19" s="243"/>
      <c r="S19" s="227" t="str">
        <f ca="1"/>
        <v>UNH</v>
      </c>
      <c r="AB19" s="14" t="s">
        <v>232</v>
      </c>
    </row>
    <row r="20" spans="1:28" ht="30" customHeight="1" x14ac:dyDescent="0.55000000000000004">
      <c r="A20" s="238" t="s">
        <v>233</v>
      </c>
      <c r="B20" s="239" t="s">
        <v>234</v>
      </c>
      <c r="C20" s="240">
        <v>2.9997658132999998</v>
      </c>
      <c r="D20" s="241">
        <f t="shared" si="0"/>
        <v>2.9997658132999996E-2</v>
      </c>
      <c r="E20" s="21">
        <f t="shared" ca="1" si="1"/>
        <v>0.9003390703879659</v>
      </c>
      <c r="F20" s="242" t="s">
        <v>38</v>
      </c>
      <c r="G20" s="243"/>
      <c r="H20" s="243"/>
      <c r="I20" s="243"/>
      <c r="J20" s="244" t="str" cm="1">
        <f t="array" aca="1" ref="J20" ca="1">IFERROR(INDEX(_xlfn.ANCHORARRAY($S$12),ROW()-12+1),"")</f>
        <v>TXN</v>
      </c>
      <c r="K20" s="67">
        <f ca="1">IF(Tabla16[[#This Row],[Ticker]]="",0,SUMIF(Tablaholdings[Ticker],Tabla16[[#This Row],[Ticker]],Tablaholdings[Peso Real en Portafolio])/100)</f>
        <v>2.0010486762876124E-2</v>
      </c>
      <c r="L20" s="243"/>
      <c r="M20" s="243"/>
      <c r="N20" s="243"/>
      <c r="O20" s="243"/>
      <c r="P20" s="243"/>
      <c r="Q20" s="243"/>
      <c r="S20" s="227" t="str">
        <f ca="1"/>
        <v>TXN</v>
      </c>
      <c r="AB20" s="14" t="s">
        <v>235</v>
      </c>
    </row>
    <row r="21" spans="1:28" ht="30" customHeight="1" x14ac:dyDescent="0.55000000000000004">
      <c r="A21" s="238" t="s">
        <v>233</v>
      </c>
      <c r="B21" s="239" t="s">
        <v>234</v>
      </c>
      <c r="C21" s="240">
        <v>0.22831799999999999</v>
      </c>
      <c r="D21" s="241">
        <f t="shared" si="0"/>
        <v>2.2831800000000001E-3</v>
      </c>
      <c r="E21" s="21">
        <f t="shared" ca="1" si="1"/>
        <v>9.1682178195147443E-2</v>
      </c>
      <c r="F21" s="242" t="s">
        <v>37</v>
      </c>
      <c r="G21" s="243"/>
      <c r="H21" s="243"/>
      <c r="I21" s="243"/>
      <c r="J21" s="244" t="str" cm="1">
        <f t="array" aca="1" ref="J21" ca="1">IFERROR(INDEX(_xlfn.ANCHORARRAY($S$12),ROW()-12+1),"")</f>
        <v>TSLA</v>
      </c>
      <c r="K21" s="67">
        <f ca="1">IF(Tabla16[[#This Row],[Ticker]]="",0,SUMIF(Tablaholdings[Ticker],Tabla16[[#This Row],[Ticker]],Tablaholdings[Peso Real en Portafolio])/100)</f>
        <v>1.9897223421407331E-2</v>
      </c>
      <c r="L21" s="243"/>
      <c r="M21" s="243"/>
      <c r="N21" s="243"/>
      <c r="O21" s="243"/>
      <c r="P21" s="243"/>
      <c r="Q21" s="243"/>
      <c r="S21" s="227" t="str">
        <f ca="1"/>
        <v>TSLA</v>
      </c>
      <c r="AB21" s="14" t="s">
        <v>236</v>
      </c>
    </row>
    <row r="22" spans="1:28" ht="30" customHeight="1" x14ac:dyDescent="0.55000000000000004">
      <c r="A22" s="238" t="s">
        <v>237</v>
      </c>
      <c r="B22" s="239" t="s">
        <v>238</v>
      </c>
      <c r="C22" s="240">
        <v>5.2285999999999999E-2</v>
      </c>
      <c r="D22" s="241">
        <f t="shared" si="0"/>
        <v>5.2285999999999999E-4</v>
      </c>
      <c r="E22" s="21">
        <f t="shared" ca="1" si="1"/>
        <v>2.0995691838188311E-2</v>
      </c>
      <c r="F22" s="242" t="s">
        <v>37</v>
      </c>
      <c r="G22" s="243"/>
      <c r="H22" s="243"/>
      <c r="I22" s="243"/>
      <c r="J22" s="244" t="str" cm="1">
        <f t="array" aca="1" ref="J22" ca="1">IFERROR(INDEX(_xlfn.ANCHORARRAY($S$12),ROW()-12+1),"")</f>
        <v>META</v>
      </c>
      <c r="K22" s="67">
        <f ca="1">IF(Tabla16[[#This Row],[Ticker]]="",0,SUMIF(Tablaholdings[Ticker],Tabla16[[#This Row],[Ticker]],Tablaholdings[Peso Real en Portafolio])/100)</f>
        <v>1.8686841756986011E-2</v>
      </c>
      <c r="L22" s="243"/>
      <c r="M22" s="243"/>
      <c r="N22" s="243"/>
      <c r="O22" s="243"/>
      <c r="P22" s="243"/>
      <c r="Q22" s="243"/>
      <c r="S22" s="227" t="str">
        <f ca="1"/>
        <v>META</v>
      </c>
      <c r="AB22" s="14" t="s">
        <v>239</v>
      </c>
    </row>
    <row r="23" spans="1:28" ht="30" customHeight="1" x14ac:dyDescent="0.55000000000000004">
      <c r="A23" s="238" t="s">
        <v>240</v>
      </c>
      <c r="B23" s="239" t="s">
        <v>241</v>
      </c>
      <c r="C23" s="240">
        <v>2.5945230225000002</v>
      </c>
      <c r="D23" s="241">
        <f t="shared" si="0"/>
        <v>2.5945230225000001E-2</v>
      </c>
      <c r="E23" s="21">
        <f t="shared" ca="1" si="1"/>
        <v>0.77871093664077728</v>
      </c>
      <c r="F23" s="242" t="s">
        <v>38</v>
      </c>
      <c r="G23" s="243"/>
      <c r="H23" s="243"/>
      <c r="I23" s="243"/>
      <c r="J23" s="244" t="str" cm="1">
        <f t="array" aca="1" ref="J23" ca="1">IFERROR(INDEX(_xlfn.ANCHORARRAY($S$12),ROW()-12+1),"")</f>
        <v>QCOM</v>
      </c>
      <c r="K23" s="67">
        <f ca="1">IF(Tabla16[[#This Row],[Ticker]]="",0,SUMIF(Tablaholdings[Ticker],Tabla16[[#This Row],[Ticker]],Tablaholdings[Peso Real en Portafolio])/100)</f>
        <v>1.7906180781064693E-2</v>
      </c>
      <c r="L23" s="243"/>
      <c r="M23" s="243"/>
      <c r="N23" s="243"/>
      <c r="O23" s="243"/>
      <c r="P23" s="243"/>
      <c r="Q23" s="243"/>
      <c r="S23" s="227" t="str">
        <f ca="1"/>
        <v>QCOM</v>
      </c>
      <c r="AB23" s="14" t="s">
        <v>242</v>
      </c>
    </row>
    <row r="24" spans="1:28" ht="30" customHeight="1" x14ac:dyDescent="0.55000000000000004">
      <c r="A24" s="238" t="s">
        <v>240</v>
      </c>
      <c r="B24" s="239" t="s">
        <v>243</v>
      </c>
      <c r="C24" s="240">
        <v>0.153864</v>
      </c>
      <c r="D24" s="241">
        <f t="shared" si="0"/>
        <v>1.53864E-3</v>
      </c>
      <c r="E24" s="21">
        <f t="shared" ca="1" si="1"/>
        <v>6.1784820582775631E-2</v>
      </c>
      <c r="F24" s="242" t="s">
        <v>37</v>
      </c>
      <c r="G24" s="243"/>
      <c r="H24" s="243"/>
      <c r="I24" s="243"/>
      <c r="J24" s="244" t="str" cm="1">
        <f t="array" aca="1" ref="J24" ca="1">IFERROR(INDEX(_xlfn.ANCHORARRAY($S$12),ROW()-12+1),"")</f>
        <v>KO</v>
      </c>
      <c r="K24" s="67">
        <f ca="1">IF(Tabla16[[#This Row],[Ticker]]="",0,SUMIF(Tablaholdings[Ticker],Tabla16[[#This Row],[Ticker]],Tablaholdings[Peso Real en Portafolio])/100)</f>
        <v>1.4308298983379843E-2</v>
      </c>
      <c r="L24" s="243"/>
      <c r="M24" s="243"/>
      <c r="N24" s="243"/>
      <c r="O24" s="243"/>
      <c r="P24" s="243"/>
      <c r="Q24" s="243"/>
      <c r="S24" s="227" t="str">
        <f ca="1"/>
        <v>KO</v>
      </c>
      <c r="AB24" s="14" t="s">
        <v>244</v>
      </c>
    </row>
    <row r="25" spans="1:28" ht="30" customHeight="1" x14ac:dyDescent="0.55000000000000004">
      <c r="A25" s="238" t="s">
        <v>245</v>
      </c>
      <c r="B25" s="239" t="s">
        <v>246</v>
      </c>
      <c r="C25" s="240">
        <v>0.34357290429999998</v>
      </c>
      <c r="D25" s="241">
        <f t="shared" si="0"/>
        <v>3.4357290429999996E-3</v>
      </c>
      <c r="E25" s="21">
        <f t="shared" ca="1" si="1"/>
        <v>0.10249081865684391</v>
      </c>
      <c r="F25" s="242" t="s">
        <v>39</v>
      </c>
      <c r="G25" s="243"/>
      <c r="H25" s="243"/>
      <c r="I25" s="243"/>
      <c r="J25" s="244" t="str" cm="1">
        <f t="array" aca="1" ref="J25" ca="1">IFERROR(INDEX(_xlfn.ANCHORARRAY($S$12),ROW()-12+1),"")</f>
        <v>CVX</v>
      </c>
      <c r="K25" s="67">
        <f ca="1">IF(Tabla16[[#This Row],[Ticker]]="",0,SUMIF(Tablaholdings[Ticker],Tabla16[[#This Row],[Ticker]],Tablaholdings[Peso Real en Portafolio])/100)</f>
        <v>1.4225935711147296E-2</v>
      </c>
      <c r="L25" s="243"/>
      <c r="M25" s="243"/>
      <c r="N25" s="243"/>
      <c r="O25" s="243"/>
      <c r="P25" s="243"/>
      <c r="Q25" s="243"/>
      <c r="S25" s="227" t="str">
        <f ca="1"/>
        <v>CVX</v>
      </c>
      <c r="AB25" s="14" t="s">
        <v>247</v>
      </c>
    </row>
    <row r="26" spans="1:28" ht="30" customHeight="1" x14ac:dyDescent="0.55000000000000004">
      <c r="A26" s="238" t="s">
        <v>245</v>
      </c>
      <c r="B26" s="239" t="s">
        <v>246</v>
      </c>
      <c r="C26" s="240">
        <v>0.15179699999999999</v>
      </c>
      <c r="D26" s="241">
        <f t="shared" si="0"/>
        <v>1.5179699999999998E-3</v>
      </c>
      <c r="E26" s="21">
        <f t="shared" ca="1" si="1"/>
        <v>6.0954806907422082E-2</v>
      </c>
      <c r="F26" s="242" t="s">
        <v>37</v>
      </c>
      <c r="G26" s="243"/>
      <c r="H26" s="243"/>
      <c r="I26" s="243"/>
      <c r="J26" s="244" t="str" cm="1">
        <f t="array" aca="1" ref="J26" ca="1">IFERROR(INDEX(_xlfn.ANCHORARRAY($S$12),ROW()-12+1),"")</f>
        <v>LLY</v>
      </c>
      <c r="K26" s="67">
        <f ca="1">IF(Tabla16[[#This Row],[Ticker]]="",0,SUMIF(Tablaholdings[Ticker],Tabla16[[#This Row],[Ticker]],Tablaholdings[Peso Real en Portafolio])/100)</f>
        <v>1.3471027178632794E-2</v>
      </c>
      <c r="L26" s="243"/>
      <c r="M26" s="243"/>
      <c r="N26" s="243"/>
      <c r="O26" s="243"/>
      <c r="P26" s="243"/>
      <c r="Q26" s="243"/>
      <c r="S26" s="227" t="str">
        <f ca="1"/>
        <v>LLY</v>
      </c>
      <c r="AB26" s="14" t="s">
        <v>248</v>
      </c>
    </row>
    <row r="27" spans="1:28" ht="30" customHeight="1" x14ac:dyDescent="0.55000000000000004">
      <c r="A27" s="238" t="s">
        <v>249</v>
      </c>
      <c r="B27" s="239" t="s">
        <v>250</v>
      </c>
      <c r="C27" s="240">
        <v>0.330928</v>
      </c>
      <c r="D27" s="241">
        <f t="shared" si="0"/>
        <v>3.3092799999999999E-3</v>
      </c>
      <c r="E27" s="21">
        <f t="shared" ca="1" si="1"/>
        <v>0.13288571144528138</v>
      </c>
      <c r="F27" s="242" t="s">
        <v>37</v>
      </c>
      <c r="G27" s="243"/>
      <c r="H27" s="243"/>
      <c r="I27" s="243"/>
      <c r="J27" s="244" t="str" cm="1">
        <f t="array" aca="1" ref="J27" ca="1">IFERROR(INDEX(_xlfn.ANCHORARRAY($S$12),ROW()-12+1),"")</f>
        <v>MRK</v>
      </c>
      <c r="K27" s="67">
        <f ca="1">IF(Tabla16[[#This Row],[Ticker]]="",0,SUMIF(Tablaholdings[Ticker],Tabla16[[#This Row],[Ticker]],Tablaholdings[Peso Real en Portafolio])/100)</f>
        <v>1.3079287280560287E-2</v>
      </c>
      <c r="L27" s="243"/>
      <c r="M27" s="243"/>
      <c r="N27" s="243"/>
      <c r="O27" s="243"/>
      <c r="P27" s="243"/>
      <c r="Q27" s="243"/>
      <c r="S27" s="227" t="str">
        <f ca="1"/>
        <v>MRK</v>
      </c>
      <c r="AB27" s="14" t="s">
        <v>251</v>
      </c>
    </row>
    <row r="28" spans="1:28" ht="30" customHeight="1" x14ac:dyDescent="0.55000000000000004">
      <c r="A28" s="238" t="s">
        <v>252</v>
      </c>
      <c r="B28" s="239" t="s">
        <v>253</v>
      </c>
      <c r="C28" s="240">
        <v>1.0059970513000001</v>
      </c>
      <c r="D28" s="241">
        <f t="shared" si="0"/>
        <v>1.0059970513E-2</v>
      </c>
      <c r="E28" s="21">
        <f t="shared" ca="1" si="1"/>
        <v>0.30193638648881294</v>
      </c>
      <c r="F28" s="242" t="s">
        <v>38</v>
      </c>
      <c r="G28" s="243"/>
      <c r="H28" s="243"/>
      <c r="I28" s="243"/>
      <c r="J28" s="244" t="str" cm="1">
        <f t="array" aca="1" ref="J28" ca="1">IFERROR(INDEX(_xlfn.ANCHORARRAY($S$12),ROW()-12+1),"")</f>
        <v>PG</v>
      </c>
      <c r="K28" s="67">
        <f ca="1">IF(Tabla16[[#This Row],[Ticker]]="",0,SUMIF(Tablaholdings[Ticker],Tabla16[[#This Row],[Ticker]],Tablaholdings[Peso Real en Portafolio])/100)</f>
        <v>1.2891574763647233E-2</v>
      </c>
      <c r="L28" s="243"/>
      <c r="M28" s="243"/>
      <c r="N28" s="243"/>
      <c r="O28" s="243"/>
      <c r="P28" s="243"/>
      <c r="Q28" s="243"/>
      <c r="S28" s="227" t="str">
        <f ca="1"/>
        <v>PG</v>
      </c>
      <c r="AB28" s="14" t="s">
        <v>254</v>
      </c>
    </row>
    <row r="29" spans="1:28" ht="30" customHeight="1" x14ac:dyDescent="0.55000000000000004">
      <c r="A29" s="238" t="s">
        <v>252</v>
      </c>
      <c r="B29" s="239" t="s">
        <v>255</v>
      </c>
      <c r="C29" s="240">
        <v>6.2466000000000001E-2</v>
      </c>
      <c r="D29" s="241">
        <f t="shared" si="0"/>
        <v>6.2465999999999997E-4</v>
      </c>
      <c r="E29" s="21">
        <f t="shared" ca="1" si="1"/>
        <v>2.5083519228173336E-2</v>
      </c>
      <c r="F29" s="242" t="s">
        <v>37</v>
      </c>
      <c r="G29" s="243"/>
      <c r="H29" s="243"/>
      <c r="I29" s="243"/>
      <c r="J29" s="244" t="str" cm="1">
        <f t="array" aca="1" ref="J29" ca="1">IFERROR(INDEX(_xlfn.ANCHORARRAY($S$12),ROW()-12+1),"")</f>
        <v>AMD</v>
      </c>
      <c r="K29" s="67">
        <f ca="1">IF(Tabla16[[#This Row],[Ticker]]="",0,SUMIF(Tablaholdings[Ticker],Tabla16[[#This Row],[Ticker]],Tablaholdings[Peso Real en Portafolio])/100)</f>
        <v>1.2292917077183971E-2</v>
      </c>
      <c r="L29" s="243"/>
      <c r="M29" s="243"/>
      <c r="N29" s="243"/>
      <c r="O29" s="243"/>
      <c r="P29" s="243"/>
      <c r="Q29" s="243"/>
      <c r="S29" s="227" t="str">
        <f ca="1"/>
        <v>AMD</v>
      </c>
      <c r="AB29" s="14" t="s">
        <v>256</v>
      </c>
    </row>
    <row r="30" spans="1:28" ht="30" customHeight="1" x14ac:dyDescent="0.55000000000000004">
      <c r="A30" s="238" t="s">
        <v>257</v>
      </c>
      <c r="B30" s="239" t="s">
        <v>258</v>
      </c>
      <c r="C30" s="240">
        <v>2.1573292593</v>
      </c>
      <c r="D30" s="241">
        <f t="shared" si="0"/>
        <v>2.1573292593000001E-2</v>
      </c>
      <c r="E30" s="21">
        <f t="shared" ca="1" si="1"/>
        <v>0.64749315137443808</v>
      </c>
      <c r="F30" s="242" t="s">
        <v>38</v>
      </c>
      <c r="G30" s="243"/>
      <c r="H30" s="243"/>
      <c r="I30" s="243"/>
      <c r="J30" s="244" t="str" cm="1">
        <f t="array" aca="1" ref="J30" ca="1">IFERROR(INDEX(_xlfn.ANCHORARRAY($S$12),ROW()-12+1),"")</f>
        <v>VZ</v>
      </c>
      <c r="K30" s="67">
        <f ca="1">IF(Tabla16[[#This Row],[Ticker]]="",0,SUMIF(Tablaholdings[Ticker],Tabla16[[#This Row],[Ticker]],Tablaholdings[Peso Real en Portafolio])/100)</f>
        <v>1.2276281076484659E-2</v>
      </c>
      <c r="L30" s="243"/>
      <c r="M30" s="243"/>
      <c r="N30" s="243"/>
      <c r="O30" s="243"/>
      <c r="P30" s="243"/>
      <c r="Q30" s="243"/>
      <c r="S30" s="227" t="str">
        <f ca="1"/>
        <v>VZ</v>
      </c>
      <c r="AB30" s="14" t="s">
        <v>259</v>
      </c>
    </row>
    <row r="31" spans="1:28" ht="30" customHeight="1" x14ac:dyDescent="0.55000000000000004">
      <c r="A31" s="238" t="s">
        <v>257</v>
      </c>
      <c r="B31" s="239" t="s">
        <v>258</v>
      </c>
      <c r="C31" s="240">
        <v>0.13166</v>
      </c>
      <c r="D31" s="241">
        <f t="shared" si="0"/>
        <v>1.3166E-3</v>
      </c>
      <c r="E31" s="21">
        <f t="shared" ca="1" si="1"/>
        <v>5.2868698837468406E-2</v>
      </c>
      <c r="F31" s="242" t="s">
        <v>37</v>
      </c>
      <c r="G31" s="243"/>
      <c r="H31" s="243"/>
      <c r="I31" s="243"/>
      <c r="J31" s="244" t="str" cm="1">
        <f t="array" aca="1" ref="J31" ca="1">IFERROR(INDEX(_xlfn.ANCHORARRAY($S$12),ROW()-12+1),"")</f>
        <v>PEP</v>
      </c>
      <c r="K31" s="67">
        <f ca="1">IF(Tabla16[[#This Row],[Ticker]]="",0,SUMIF(Tablaholdings[Ticker],Tabla16[[#This Row],[Ticker]],Tablaholdings[Peso Real en Portafolio])/100)</f>
        <v>1.2160494894736015E-2</v>
      </c>
      <c r="L31" s="243"/>
      <c r="M31" s="243"/>
      <c r="N31" s="243"/>
      <c r="O31" s="243"/>
      <c r="P31" s="243"/>
      <c r="Q31" s="243"/>
      <c r="S31" s="227" t="str">
        <f ca="1"/>
        <v>PEP</v>
      </c>
      <c r="AB31" s="14" t="s">
        <v>260</v>
      </c>
    </row>
    <row r="32" spans="1:28" ht="30" customHeight="1" x14ac:dyDescent="0.55000000000000004">
      <c r="A32" s="238" t="s">
        <v>261</v>
      </c>
      <c r="B32" s="239" t="s">
        <v>262</v>
      </c>
      <c r="C32" s="240">
        <v>0.1743786215</v>
      </c>
      <c r="D32" s="241">
        <f t="shared" si="0"/>
        <v>1.743786215E-3</v>
      </c>
      <c r="E32" s="21">
        <f t="shared" ca="1" si="1"/>
        <v>5.2018676240491071E-2</v>
      </c>
      <c r="F32" s="242" t="s">
        <v>39</v>
      </c>
      <c r="G32" s="243"/>
      <c r="H32" s="243"/>
      <c r="I32" s="243"/>
      <c r="J32" s="244" t="str" cm="1">
        <f t="array" aca="1" ref="J32" ca="1">IFERROR(INDEX(_xlfn.ANCHORARRAY($S$12),ROW()-12+1),"")</f>
        <v>COP</v>
      </c>
      <c r="K32" s="67">
        <f ca="1">IF(Tabla16[[#This Row],[Ticker]]="",0,SUMIF(Tablaholdings[Ticker],Tabla16[[#This Row],[Ticker]],Tablaholdings[Peso Real en Portafolio])/100)</f>
        <v>1.2152910167013942E-2</v>
      </c>
      <c r="L32" s="243"/>
      <c r="M32" s="243"/>
      <c r="N32" s="243"/>
      <c r="O32" s="243"/>
      <c r="P32" s="243"/>
      <c r="Q32" s="243"/>
      <c r="S32" s="227" t="str">
        <f ca="1"/>
        <v>COP</v>
      </c>
      <c r="AB32" s="14" t="s">
        <v>263</v>
      </c>
    </row>
    <row r="33" spans="1:28" ht="30" customHeight="1" x14ac:dyDescent="0.55000000000000004">
      <c r="A33" s="238" t="s">
        <v>261</v>
      </c>
      <c r="B33" s="239" t="s">
        <v>262</v>
      </c>
      <c r="C33" s="240">
        <v>7.6872999999999997E-2</v>
      </c>
      <c r="D33" s="241">
        <f t="shared" si="0"/>
        <v>7.6873000000000002E-4</v>
      </c>
      <c r="E33" s="21">
        <f t="shared" ca="1" si="1"/>
        <v>3.0868718560935052E-2</v>
      </c>
      <c r="F33" s="242" t="s">
        <v>37</v>
      </c>
      <c r="G33" s="243"/>
      <c r="H33" s="243"/>
      <c r="I33" s="243"/>
      <c r="J33" s="244" t="str" cm="1">
        <f t="array" aca="1" ref="J33" ca="1">IFERROR(INDEX(_xlfn.ANCHORARRAY($S$12),ROW()-12+1),"")</f>
        <v>HD</v>
      </c>
      <c r="K33" s="67">
        <f ca="1">IF(Tabla16[[#This Row],[Ticker]]="",0,SUMIF(Tablaholdings[Ticker],Tabla16[[#This Row],[Ticker]],Tablaholdings[Peso Real en Portafolio])/100)</f>
        <v>1.1783389080627631E-2</v>
      </c>
      <c r="L33" s="243"/>
      <c r="M33" s="243"/>
      <c r="N33" s="243"/>
      <c r="O33" s="243"/>
      <c r="P33" s="243"/>
      <c r="Q33" s="243"/>
      <c r="S33" s="227" t="str">
        <f ca="1"/>
        <v>HD</v>
      </c>
      <c r="AB33" s="14" t="s">
        <v>264</v>
      </c>
    </row>
    <row r="34" spans="1:28" ht="30" customHeight="1" x14ac:dyDescent="0.55000000000000004">
      <c r="A34" s="238" t="s">
        <v>265</v>
      </c>
      <c r="B34" s="239" t="s">
        <v>266</v>
      </c>
      <c r="C34" s="240">
        <v>4.7187E-2</v>
      </c>
      <c r="D34" s="241">
        <f t="shared" si="0"/>
        <v>4.7186999999999999E-4</v>
      </c>
      <c r="E34" s="21">
        <f t="shared" ca="1" si="1"/>
        <v>1.8948164150414872E-2</v>
      </c>
      <c r="F34" s="242" t="s">
        <v>37</v>
      </c>
      <c r="G34" s="243"/>
      <c r="H34" s="243"/>
      <c r="I34" s="243"/>
      <c r="J34" s="244" t="str" cm="1">
        <f t="array" aca="1" ref="J34" ca="1">IFERROR(INDEX(_xlfn.ANCHORARRAY($S$12),ROW()-12+1),"")</f>
        <v>AMGN</v>
      </c>
      <c r="K34" s="67">
        <f ca="1">IF(Tabla16[[#This Row],[Ticker]]="",0,SUMIF(Tablaholdings[Ticker],Tabla16[[#This Row],[Ticker]],Tablaholdings[Peso Real en Portafolio])/100)</f>
        <v>1.1771624616370022E-2</v>
      </c>
      <c r="L34" s="243"/>
      <c r="M34" s="243"/>
      <c r="N34" s="243"/>
      <c r="O34" s="243"/>
      <c r="P34" s="243"/>
      <c r="Q34" s="243"/>
      <c r="S34" s="227" t="str">
        <f ca="1"/>
        <v>AMGN</v>
      </c>
      <c r="AB34" s="14" t="s">
        <v>267</v>
      </c>
    </row>
    <row r="35" spans="1:28" ht="30" customHeight="1" x14ac:dyDescent="0.55000000000000004">
      <c r="A35" s="238" t="s">
        <v>268</v>
      </c>
      <c r="B35" s="239" t="s">
        <v>269</v>
      </c>
      <c r="C35" s="240">
        <v>0.108248</v>
      </c>
      <c r="D35" s="241">
        <f t="shared" si="0"/>
        <v>1.08248E-3</v>
      </c>
      <c r="E35" s="21">
        <f t="shared" ca="1" si="1"/>
        <v>4.3467498950009724E-2</v>
      </c>
      <c r="F35" s="242" t="s">
        <v>37</v>
      </c>
      <c r="G35" s="243"/>
      <c r="H35" s="243"/>
      <c r="I35" s="243"/>
      <c r="J35" s="244" t="str" cm="1">
        <f t="array" aca="1" ref="J35" ca="1">IFERROR(INDEX(_xlfn.ANCHORARRAY($S$12),ROW()-12+1),"")</f>
        <v>MO</v>
      </c>
      <c r="K35" s="67">
        <f ca="1">IF(Tabla16[[#This Row],[Ticker]]="",0,SUMIF(Tablaholdings[Ticker],Tabla16[[#This Row],[Ticker]],Tablaholdings[Peso Real en Portafolio])/100)</f>
        <v>1.0135600001065712E-2</v>
      </c>
      <c r="L35" s="243"/>
      <c r="M35" s="243"/>
      <c r="N35" s="243"/>
      <c r="O35" s="243"/>
      <c r="P35" s="243"/>
      <c r="Q35" s="243"/>
      <c r="S35" s="227" t="str">
        <f ca="1"/>
        <v>MO</v>
      </c>
      <c r="AB35" s="14" t="s">
        <v>270</v>
      </c>
    </row>
    <row r="36" spans="1:28" ht="30" customHeight="1" x14ac:dyDescent="0.55000000000000004">
      <c r="A36" s="238" t="s">
        <v>271</v>
      </c>
      <c r="B36" s="239" t="s">
        <v>272</v>
      </c>
      <c r="C36" s="240">
        <v>1.6116999999999999E-2</v>
      </c>
      <c r="D36" s="241">
        <f t="shared" si="0"/>
        <v>1.6117E-4</v>
      </c>
      <c r="E36" s="21">
        <f t="shared" ca="1" si="1"/>
        <v>6.4718579611383739E-3</v>
      </c>
      <c r="F36" s="242" t="s">
        <v>37</v>
      </c>
      <c r="G36" s="243"/>
      <c r="H36" s="243"/>
      <c r="I36" s="243"/>
      <c r="J36" s="244" t="str" cm="1">
        <f t="array" aca="1" ref="J36" ca="1">IFERROR(INDEX(_xlfn.ANCHORARRAY($S$12),ROW()-12+1),"")</f>
        <v>ABT</v>
      </c>
      <c r="K36" s="67">
        <f ca="1">IF(Tabla16[[#This Row],[Ticker]]="",0,SUMIF(Tablaholdings[Ticker],Tabla16[[#This Row],[Ticker]],Tablaholdings[Peso Real en Portafolio])/100)</f>
        <v>9.9202124858311334E-3</v>
      </c>
      <c r="L36" s="243"/>
      <c r="M36" s="243"/>
      <c r="N36" s="243"/>
      <c r="O36" s="243"/>
      <c r="P36" s="243"/>
      <c r="Q36" s="243"/>
      <c r="S36" s="227" t="str">
        <f ca="1"/>
        <v>ABT</v>
      </c>
      <c r="AB36" s="14" t="s">
        <v>273</v>
      </c>
    </row>
    <row r="37" spans="1:28" ht="30" customHeight="1" x14ac:dyDescent="0.55000000000000004">
      <c r="A37" s="238" t="s">
        <v>274</v>
      </c>
      <c r="B37" s="239" t="s">
        <v>275</v>
      </c>
      <c r="C37" s="240">
        <v>0.23618944580000001</v>
      </c>
      <c r="D37" s="241">
        <f t="shared" si="0"/>
        <v>2.3618944580000001E-3</v>
      </c>
      <c r="E37" s="21">
        <f t="shared" ca="1" si="1"/>
        <v>7.0889062447540521E-2</v>
      </c>
      <c r="F37" s="242" t="s">
        <v>38</v>
      </c>
      <c r="G37" s="243"/>
      <c r="H37" s="243"/>
      <c r="I37" s="243"/>
      <c r="J37" s="244" t="str" cm="1">
        <f t="array" aca="1" ref="J37" ca="1">IFERROR(INDEX(_xlfn.ANCHORARRAY($S$12),ROW()-12+1),"")</f>
        <v>BMY</v>
      </c>
      <c r="K37" s="67">
        <f ca="1">IF(Tabla16[[#This Row],[Ticker]]="",0,SUMIF(Tablaholdings[Ticker],Tabla16[[#This Row],[Ticker]],Tablaholdings[Peso Real en Portafolio])/100)</f>
        <v>9.6445006260221424E-3</v>
      </c>
      <c r="L37" s="243"/>
      <c r="M37" s="243"/>
      <c r="N37" s="243"/>
      <c r="O37" s="243"/>
      <c r="P37" s="243"/>
      <c r="Q37" s="243"/>
      <c r="S37" s="227" t="str">
        <f ca="1"/>
        <v>BMY</v>
      </c>
      <c r="AB37" s="14" t="s">
        <v>276</v>
      </c>
    </row>
    <row r="38" spans="1:28" ht="30" customHeight="1" x14ac:dyDescent="0.55000000000000004">
      <c r="A38" s="238" t="s">
        <v>277</v>
      </c>
      <c r="B38" s="239" t="s">
        <v>278</v>
      </c>
      <c r="C38" s="240">
        <v>8.4340999999999999E-2</v>
      </c>
      <c r="D38" s="241">
        <f t="shared" si="0"/>
        <v>8.4340999999999995E-4</v>
      </c>
      <c r="E38" s="21">
        <f t="shared" ca="1" si="1"/>
        <v>3.38675294595999E-2</v>
      </c>
      <c r="F38" s="242" t="s">
        <v>37</v>
      </c>
      <c r="G38" s="243"/>
      <c r="H38" s="243"/>
      <c r="I38" s="243"/>
      <c r="J38" s="244" t="str" cm="1">
        <f t="array" aca="1" ref="J38" ca="1">IFERROR(INDEX(_xlfn.ANCHORARRAY($S$12),ROW()-12+1),"")</f>
        <v>V</v>
      </c>
      <c r="K38" s="67">
        <f ca="1">IF(Tabla16[[#This Row],[Ticker]]="",0,SUMIF(Tablaholdings[Ticker],Tabla16[[#This Row],[Ticker]],Tablaholdings[Peso Real en Portafolio])/100)</f>
        <v>9.106046208956697E-3</v>
      </c>
      <c r="L38" s="243"/>
      <c r="M38" s="243"/>
      <c r="N38" s="243"/>
      <c r="O38" s="243"/>
      <c r="P38" s="243"/>
      <c r="Q38" s="243"/>
      <c r="S38" s="227" t="str">
        <f ca="1"/>
        <v>V</v>
      </c>
      <c r="AB38" s="14" t="s">
        <v>279</v>
      </c>
    </row>
    <row r="39" spans="1:28" ht="30" customHeight="1" x14ac:dyDescent="0.55000000000000004">
      <c r="A39" s="238" t="s">
        <v>280</v>
      </c>
      <c r="B39" s="239" t="s">
        <v>281</v>
      </c>
      <c r="C39" s="240">
        <v>6.9606863699999993E-2</v>
      </c>
      <c r="D39" s="241">
        <f t="shared" si="0"/>
        <v>6.9606863699999994E-4</v>
      </c>
      <c r="E39" s="21">
        <f t="shared" ca="1" si="1"/>
        <v>2.0764339549078786E-2</v>
      </c>
      <c r="F39" s="242" t="s">
        <v>39</v>
      </c>
      <c r="G39" s="243"/>
      <c r="H39" s="243"/>
      <c r="I39" s="243"/>
      <c r="J39" s="244" t="str" cm="1">
        <f t="array" aca="1" ref="J39" ca="1">IFERROR(INDEX(_xlfn.ANCHORARRAY($S$12),ROW()-12+1),"")</f>
        <v>LMT</v>
      </c>
      <c r="K39" s="67">
        <f ca="1">IF(Tabla16[[#This Row],[Ticker]]="",0,SUMIF(Tablaholdings[Ticker],Tabla16[[#This Row],[Ticker]],Tablaholdings[Peso Real en Portafolio])/100)</f>
        <v>8.7934497314493126E-3</v>
      </c>
      <c r="L39" s="243"/>
      <c r="M39" s="243"/>
      <c r="N39" s="243"/>
      <c r="O39" s="243"/>
      <c r="P39" s="243"/>
      <c r="Q39" s="243"/>
      <c r="S39" s="227" t="str">
        <f ca="1"/>
        <v>LMT</v>
      </c>
      <c r="AB39" s="14" t="s">
        <v>282</v>
      </c>
    </row>
    <row r="40" spans="1:28" ht="30" customHeight="1" x14ac:dyDescent="0.55000000000000004">
      <c r="A40" s="238" t="s">
        <v>283</v>
      </c>
      <c r="B40" s="239" t="s">
        <v>284</v>
      </c>
      <c r="C40" s="240">
        <v>4.2403274999999997E-2</v>
      </c>
      <c r="D40" s="241">
        <f t="shared" si="0"/>
        <v>4.2403274999999995E-4</v>
      </c>
      <c r="E40" s="21">
        <f t="shared" ca="1" si="1"/>
        <v>1.272676854494416E-2</v>
      </c>
      <c r="F40" s="242" t="s">
        <v>38</v>
      </c>
      <c r="G40" s="243"/>
      <c r="H40" s="243"/>
      <c r="I40" s="243"/>
      <c r="J40" s="244" t="str" cm="1">
        <f t="array" aca="1" ref="J40" ca="1">IFERROR(INDEX(_xlfn.ANCHORARRAY($S$12),ROW()-12+1),"")</f>
        <v>ACN</v>
      </c>
      <c r="K40" s="67">
        <f ca="1">IF(Tabla16[[#This Row],[Ticker]]="",0,SUMIF(Tablaholdings[Ticker],Tabla16[[#This Row],[Ticker]],Tablaholdings[Peso Real en Portafolio])/100)</f>
        <v>8.4049575722355292E-3</v>
      </c>
      <c r="L40" s="243"/>
      <c r="M40" s="243"/>
      <c r="N40" s="243"/>
      <c r="O40" s="243"/>
      <c r="P40" s="243"/>
      <c r="Q40" s="243"/>
      <c r="S40" s="227" t="str">
        <f ca="1"/>
        <v>ACN</v>
      </c>
      <c r="AB40" s="14" t="s">
        <v>285</v>
      </c>
    </row>
    <row r="41" spans="1:28" ht="30" customHeight="1" x14ac:dyDescent="0.55000000000000004">
      <c r="A41" s="238" t="s">
        <v>286</v>
      </c>
      <c r="B41" s="239" t="s">
        <v>287</v>
      </c>
      <c r="C41" s="240">
        <v>6.3652E-2</v>
      </c>
      <c r="D41" s="241">
        <f t="shared" si="0"/>
        <v>6.3652000000000001E-4</v>
      </c>
      <c r="E41" s="21">
        <f t="shared" ca="1" si="1"/>
        <v>2.5559763165749195E-2</v>
      </c>
      <c r="F41" s="242" t="s">
        <v>37</v>
      </c>
      <c r="G41" s="243"/>
      <c r="H41" s="243"/>
      <c r="I41" s="243"/>
      <c r="J41" s="244" t="str" cm="1">
        <f t="array" aca="1" ref="J41" ca="1">IFERROR(INDEX(_xlfn.ANCHORARRAY($S$12),ROW()-12+1),"")</f>
        <v>COST</v>
      </c>
      <c r="K41" s="67">
        <f ca="1">IF(Tabla16[[#This Row],[Ticker]]="",0,SUMIF(Tablaholdings[Ticker],Tabla16[[#This Row],[Ticker]],Tablaholdings[Peso Real en Portafolio])/100)</f>
        <v>7.7607399902736981E-3</v>
      </c>
      <c r="L41" s="243"/>
      <c r="M41" s="243"/>
      <c r="N41" s="243"/>
      <c r="O41" s="243"/>
      <c r="P41" s="243"/>
      <c r="Q41" s="243"/>
      <c r="S41" s="227" t="str">
        <f ca="1"/>
        <v>COST</v>
      </c>
      <c r="AB41" s="14" t="s">
        <v>288</v>
      </c>
    </row>
    <row r="42" spans="1:28" ht="30" customHeight="1" x14ac:dyDescent="0.55000000000000004">
      <c r="A42" s="238" t="s">
        <v>289</v>
      </c>
      <c r="B42" s="239" t="s">
        <v>290</v>
      </c>
      <c r="C42" s="240">
        <v>1.8984000000000001E-2</v>
      </c>
      <c r="D42" s="241">
        <f t="shared" si="0"/>
        <v>1.8984000000000001E-4</v>
      </c>
      <c r="E42" s="21">
        <f t="shared" ca="1" si="1"/>
        <v>7.6231154392412299E-3</v>
      </c>
      <c r="F42" s="242" t="s">
        <v>37</v>
      </c>
      <c r="G42" s="243"/>
      <c r="H42" s="243"/>
      <c r="I42" s="243"/>
      <c r="J42" s="244" t="str" cm="1">
        <f t="array" aca="1" ref="J42" ca="1">IFERROR(INDEX(_xlfn.ANCHORARRAY($S$12),ROW()-12+1),"")</f>
        <v>BX</v>
      </c>
      <c r="K42" s="67">
        <f ca="1">IF(Tabla16[[#This Row],[Ticker]]="",0,SUMIF(Tablaholdings[Ticker],Tabla16[[#This Row],[Ticker]],Tablaholdings[Peso Real en Portafolio])/100)</f>
        <v>7.6390313595348924E-3</v>
      </c>
      <c r="L42" s="243"/>
      <c r="M42" s="243"/>
      <c r="N42" s="243"/>
      <c r="O42" s="243"/>
      <c r="P42" s="243"/>
      <c r="Q42" s="243"/>
      <c r="S42" s="227" t="str">
        <f ca="1"/>
        <v>BX</v>
      </c>
      <c r="AB42" s="14" t="s">
        <v>291</v>
      </c>
    </row>
    <row r="43" spans="1:28" ht="30" customHeight="1" x14ac:dyDescent="0.55000000000000004">
      <c r="A43" s="238" t="s">
        <v>292</v>
      </c>
      <c r="B43" s="239" t="s">
        <v>293</v>
      </c>
      <c r="C43" s="240">
        <v>7.7359999999999998E-2</v>
      </c>
      <c r="D43" s="241">
        <f t="shared" si="0"/>
        <v>7.7359999999999994E-4</v>
      </c>
      <c r="E43" s="21">
        <f t="shared" ca="1" si="1"/>
        <v>3.1064275725858695E-2</v>
      </c>
      <c r="F43" s="242" t="s">
        <v>37</v>
      </c>
      <c r="G43" s="243"/>
      <c r="H43" s="243"/>
      <c r="I43" s="243"/>
      <c r="J43" s="244" t="str" cm="1">
        <f t="array" aca="1" ref="J43" ca="1">IFERROR(INDEX(_xlfn.ANCHORARRAY($S$12),ROW()-12+1),"")</f>
        <v>CMCSA</v>
      </c>
      <c r="K43" s="67">
        <f ca="1">IF(Tabla16[[#This Row],[Ticker]]="",0,SUMIF(Tablaholdings[Ticker],Tabla16[[#This Row],[Ticker]],Tablaholdings[Peso Real en Portafolio])/100)</f>
        <v>7.5329968921044911E-3</v>
      </c>
      <c r="L43" s="243"/>
      <c r="M43" s="243"/>
      <c r="N43" s="243"/>
      <c r="O43" s="243"/>
      <c r="P43" s="243"/>
      <c r="Q43" s="243"/>
      <c r="S43" s="227" t="str">
        <f ca="1"/>
        <v>CMCSA</v>
      </c>
      <c r="AB43" s="14" t="s">
        <v>294</v>
      </c>
    </row>
    <row r="44" spans="1:28" ht="30" customHeight="1" x14ac:dyDescent="0.55000000000000004">
      <c r="A44" s="238" t="s">
        <v>295</v>
      </c>
      <c r="B44" s="239" t="s">
        <v>296</v>
      </c>
      <c r="C44" s="240">
        <v>3.6320999999999999E-2</v>
      </c>
      <c r="D44" s="241">
        <f t="shared" si="0"/>
        <v>3.6320999999999999E-4</v>
      </c>
      <c r="E44" s="21">
        <f t="shared" ca="1" si="1"/>
        <v>1.4584870199572308E-2</v>
      </c>
      <c r="F44" s="242" t="s">
        <v>37</v>
      </c>
      <c r="G44" s="243"/>
      <c r="H44" s="243"/>
      <c r="I44" s="243"/>
      <c r="J44" s="244" t="str" cm="1">
        <f t="array" aca="1" ref="J44" ca="1">IFERROR(INDEX(_xlfn.ANCHORARRAY($S$12),ROW()-12+1),"")</f>
        <v>ADP</v>
      </c>
      <c r="K44" s="67">
        <f ca="1">IF(Tabla16[[#This Row],[Ticker]]="",0,SUMIF(Tablaholdings[Ticker],Tabla16[[#This Row],[Ticker]],Tablaholdings[Peso Real en Portafolio])/100)</f>
        <v>7.0036185021190647E-3</v>
      </c>
      <c r="L44" s="243"/>
      <c r="M44" s="243"/>
      <c r="N44" s="243"/>
      <c r="O44" s="243"/>
      <c r="P44" s="243"/>
      <c r="Q44" s="243"/>
      <c r="S44" s="227" t="str">
        <f ca="1"/>
        <v>ADP</v>
      </c>
      <c r="AB44" s="14" t="s">
        <v>297</v>
      </c>
    </row>
    <row r="45" spans="1:28" ht="30" customHeight="1" x14ac:dyDescent="0.55000000000000004">
      <c r="A45" s="238" t="s">
        <v>298</v>
      </c>
      <c r="B45" s="239" t="s">
        <v>299</v>
      </c>
      <c r="C45" s="240">
        <v>0.1070879736</v>
      </c>
      <c r="D45" s="241">
        <f t="shared" si="0"/>
        <v>1.0708797359999999E-3</v>
      </c>
      <c r="E45" s="21">
        <f t="shared" ca="1" si="1"/>
        <v>3.1945284232841896E-2</v>
      </c>
      <c r="F45" s="242" t="s">
        <v>39</v>
      </c>
      <c r="G45" s="243"/>
      <c r="H45" s="243"/>
      <c r="I45" s="243"/>
      <c r="J45" s="244" t="str" cm="1">
        <f t="array" aca="1" ref="J45" ca="1">IFERROR(INDEX(_xlfn.ANCHORARRAY($S$12),ROW()-12+1),"")</f>
        <v>SLB</v>
      </c>
      <c r="K45" s="67">
        <f ca="1">IF(Tabla16[[#This Row],[Ticker]]="",0,SUMIF(Tablaholdings[Ticker],Tabla16[[#This Row],[Ticker]],Tablaholdings[Peso Real en Portafolio])/100)</f>
        <v>6.9539497872043339E-3</v>
      </c>
      <c r="L45" s="243"/>
      <c r="M45" s="243"/>
      <c r="N45" s="243"/>
      <c r="O45" s="243"/>
      <c r="P45" s="243"/>
      <c r="Q45" s="243"/>
      <c r="S45" s="227" t="str">
        <f ca="1"/>
        <v>SLB</v>
      </c>
      <c r="AB45" s="14" t="s">
        <v>300</v>
      </c>
    </row>
    <row r="46" spans="1:28" ht="30" customHeight="1" x14ac:dyDescent="0.55000000000000004">
      <c r="A46" s="238" t="s">
        <v>301</v>
      </c>
      <c r="B46" s="239" t="s">
        <v>302</v>
      </c>
      <c r="C46" s="240">
        <v>3.6977000000000003E-2</v>
      </c>
      <c r="D46" s="241">
        <f t="shared" si="0"/>
        <v>3.6977000000000001E-4</v>
      </c>
      <c r="E46" s="21">
        <f t="shared" ca="1" si="1"/>
        <v>1.4848290117826747E-2</v>
      </c>
      <c r="F46" s="242" t="s">
        <v>37</v>
      </c>
      <c r="G46" s="243"/>
      <c r="H46" s="243"/>
      <c r="I46" s="243"/>
      <c r="J46" s="244" t="str" cm="1">
        <f t="array" aca="1" ref="J46" ca="1">IFERROR(INDEX(_xlfn.ANCHORARRAY($S$12),ROW()-12+1),"")</f>
        <v>MA</v>
      </c>
      <c r="K46" s="67">
        <f ca="1">IF(Tabla16[[#This Row],[Ticker]]="",0,SUMIF(Tablaholdings[Ticker],Tabla16[[#This Row],[Ticker]],Tablaholdings[Peso Real en Portafolio])/100)</f>
        <v>6.7205850298498173E-3</v>
      </c>
      <c r="L46" s="243"/>
      <c r="M46" s="243"/>
      <c r="N46" s="243"/>
      <c r="O46" s="243"/>
      <c r="P46" s="243"/>
      <c r="Q46" s="243"/>
      <c r="S46" s="227" t="str">
        <f ca="1"/>
        <v>MA</v>
      </c>
      <c r="AB46" s="14" t="s">
        <v>303</v>
      </c>
    </row>
    <row r="47" spans="1:28" ht="30" customHeight="1" x14ac:dyDescent="0.55000000000000004">
      <c r="A47" s="238" t="s">
        <v>304</v>
      </c>
      <c r="B47" s="239" t="s">
        <v>305</v>
      </c>
      <c r="C47" s="240">
        <v>1.7042999999999999E-2</v>
      </c>
      <c r="D47" s="241">
        <f t="shared" si="0"/>
        <v>1.7042999999999998E-4</v>
      </c>
      <c r="E47" s="21">
        <f t="shared" ca="1" si="1"/>
        <v>6.8436976628207047E-3</v>
      </c>
      <c r="F47" s="242" t="s">
        <v>37</v>
      </c>
      <c r="G47" s="243"/>
      <c r="H47" s="243"/>
      <c r="I47" s="243"/>
      <c r="J47" s="244" t="str" cm="1">
        <f t="array" aca="1" ref="J47" ca="1">IFERROR(INDEX(_xlfn.ANCHORARRAY($S$12),ROW()-12+1),"")</f>
        <v>NFLX</v>
      </c>
      <c r="K47" s="67">
        <f ca="1">IF(Tabla16[[#This Row],[Ticker]]="",0,SUMIF(Tablaholdings[Ticker],Tabla16[[#This Row],[Ticker]],Tablaholdings[Peso Real en Portafolio])/100)</f>
        <v>6.1919188480753905E-3</v>
      </c>
      <c r="L47" s="243"/>
      <c r="M47" s="243"/>
      <c r="N47" s="243"/>
      <c r="O47" s="243"/>
      <c r="P47" s="243"/>
      <c r="Q47" s="243"/>
      <c r="S47" s="227" t="str">
        <f ca="1"/>
        <v>NFLX</v>
      </c>
      <c r="AB47" s="14" t="s">
        <v>306</v>
      </c>
    </row>
    <row r="48" spans="1:28" ht="30" customHeight="1" x14ac:dyDescent="0.55000000000000004">
      <c r="A48" s="238" t="s">
        <v>307</v>
      </c>
      <c r="B48" s="239" t="s">
        <v>308</v>
      </c>
      <c r="C48" s="240">
        <v>8.7762999999999994E-2</v>
      </c>
      <c r="D48" s="241">
        <f t="shared" si="0"/>
        <v>8.776299999999999E-4</v>
      </c>
      <c r="E48" s="21">
        <f t="shared" ca="1" si="1"/>
        <v>3.5241649825860089E-2</v>
      </c>
      <c r="F48" s="242" t="s">
        <v>37</v>
      </c>
      <c r="G48" s="243"/>
      <c r="H48" s="243"/>
      <c r="I48" s="243"/>
      <c r="J48" s="244" t="str" cm="1">
        <f t="array" aca="1" ref="J48" ca="1">IFERROR(INDEX(_xlfn.ANCHORARRAY($S$12),ROW()-12+1),"")</f>
        <v>EOG</v>
      </c>
      <c r="K48" s="67">
        <f ca="1">IF(Tabla16[[#This Row],[Ticker]]="",0,SUMIF(Tablaholdings[Ticker],Tabla16[[#This Row],[Ticker]],Tablaholdings[Peso Real en Portafolio])/100)</f>
        <v>6.1550749304675979E-3</v>
      </c>
      <c r="L48" s="243"/>
      <c r="M48" s="243"/>
      <c r="N48" s="243"/>
      <c r="O48" s="243"/>
      <c r="P48" s="243"/>
      <c r="Q48" s="243"/>
      <c r="S48" s="227" t="str">
        <f ca="1"/>
        <v>EOG</v>
      </c>
      <c r="AB48" s="14" t="s">
        <v>309</v>
      </c>
    </row>
    <row r="49" spans="1:28" ht="30" customHeight="1" x14ac:dyDescent="0.55000000000000004">
      <c r="A49" s="238" t="s">
        <v>310</v>
      </c>
      <c r="B49" s="239" t="s">
        <v>311</v>
      </c>
      <c r="C49" s="240">
        <v>1.7606E-2</v>
      </c>
      <c r="D49" s="241">
        <f t="shared" si="0"/>
        <v>1.7605999999999999E-4</v>
      </c>
      <c r="E49" s="21">
        <f t="shared" ca="1" si="1"/>
        <v>7.0697729890055357E-3</v>
      </c>
      <c r="F49" s="242" t="s">
        <v>37</v>
      </c>
      <c r="G49" s="243"/>
      <c r="H49" s="243"/>
      <c r="I49" s="243"/>
      <c r="J49" s="244" t="str" cm="1">
        <f t="array" aca="1" ref="J49" ca="1">IFERROR(INDEX(_xlfn.ANCHORARRAY($S$12),ROW()-12+1),"")</f>
        <v>UPS</v>
      </c>
      <c r="K49" s="67">
        <f ca="1">IF(Tabla16[[#This Row],[Ticker]]="",0,SUMIF(Tablaholdings[Ticker],Tabla16[[#This Row],[Ticker]],Tablaholdings[Peso Real en Portafolio])/100)</f>
        <v>6.0704483862282629E-3</v>
      </c>
      <c r="L49" s="243"/>
      <c r="M49" s="243"/>
      <c r="N49" s="243"/>
      <c r="O49" s="243"/>
      <c r="P49" s="243"/>
      <c r="Q49" s="243"/>
      <c r="S49" s="227" t="str">
        <f ca="1"/>
        <v>UPS</v>
      </c>
      <c r="AB49" s="14" t="s">
        <v>312</v>
      </c>
    </row>
    <row r="50" spans="1:28" ht="30" customHeight="1" x14ac:dyDescent="0.55000000000000004">
      <c r="A50" s="238" t="s">
        <v>313</v>
      </c>
      <c r="B50" s="239" t="s">
        <v>314</v>
      </c>
      <c r="C50" s="240">
        <v>0.13742784290000001</v>
      </c>
      <c r="D50" s="241">
        <f t="shared" si="0"/>
        <v>1.3742784290000001E-3</v>
      </c>
      <c r="E50" s="21">
        <f t="shared" ca="1" si="1"/>
        <v>4.0995934047134155E-2</v>
      </c>
      <c r="F50" s="242" t="s">
        <v>39</v>
      </c>
      <c r="G50" s="243"/>
      <c r="H50" s="243"/>
      <c r="I50" s="243"/>
      <c r="J50" s="244" t="str" cm="1">
        <f t="array" aca="1" ref="J50" ca="1">IFERROR(INDEX(_xlfn.ANCHORARRAY($S$12),ROW()-12+1),"")</f>
        <v>MU</v>
      </c>
      <c r="K50" s="67">
        <f ca="1">IF(Tabla16[[#This Row],[Ticker]]="",0,SUMIF(Tablaholdings[Ticker],Tabla16[[#This Row],[Ticker]],Tablaholdings[Peso Real en Portafolio])/100)</f>
        <v>5.6878865538138789E-3</v>
      </c>
      <c r="L50" s="243"/>
      <c r="M50" s="243"/>
      <c r="N50" s="243"/>
      <c r="O50" s="243"/>
      <c r="P50" s="243"/>
      <c r="Q50" s="243"/>
      <c r="S50" s="227" t="str">
        <f ca="1"/>
        <v>MU</v>
      </c>
      <c r="AB50" s="14" t="s">
        <v>315</v>
      </c>
    </row>
    <row r="51" spans="1:28" ht="30" customHeight="1" x14ac:dyDescent="0.55000000000000004">
      <c r="A51" s="238" t="s">
        <v>316</v>
      </c>
      <c r="B51" s="239" t="s">
        <v>317</v>
      </c>
      <c r="C51" s="240">
        <v>0.21330854129999999</v>
      </c>
      <c r="D51" s="241">
        <f t="shared" si="0"/>
        <v>2.1330854129999999E-3</v>
      </c>
      <c r="E51" s="21">
        <f t="shared" ca="1" si="1"/>
        <v>6.4021668934410428E-2</v>
      </c>
      <c r="F51" s="242" t="s">
        <v>38</v>
      </c>
      <c r="G51" s="243"/>
      <c r="H51" s="243"/>
      <c r="I51" s="243"/>
      <c r="J51" s="244" t="str" cm="1">
        <f t="array" aca="1" ref="J51" ca="1">IFERROR(INDEX(_xlfn.ANCHORARRAY($S$12),ROW()-12+1),"")</f>
        <v>BRK.B</v>
      </c>
      <c r="K51" s="67">
        <f ca="1">IF(Tabla16[[#This Row],[Ticker]]="",0,SUMIF(Tablaholdings[Ticker],Tabla16[[#This Row],[Ticker]],Tablaholdings[Peso Real en Portafolio])/100)</f>
        <v>5.5987454140984782E-3</v>
      </c>
      <c r="L51" s="243"/>
      <c r="M51" s="243"/>
      <c r="N51" s="243"/>
      <c r="O51" s="243"/>
      <c r="P51" s="243"/>
      <c r="Q51" s="243"/>
      <c r="S51" s="227" t="str">
        <f ca="1"/>
        <v>BRK.B</v>
      </c>
      <c r="AB51" s="14" t="s">
        <v>318</v>
      </c>
    </row>
    <row r="52" spans="1:28" ht="30" customHeight="1" x14ac:dyDescent="0.55000000000000004">
      <c r="A52" s="238" t="s">
        <v>319</v>
      </c>
      <c r="B52" s="239" t="s">
        <v>320</v>
      </c>
      <c r="C52" s="240">
        <v>0.542771</v>
      </c>
      <c r="D52" s="241">
        <f t="shared" si="0"/>
        <v>5.4277099999999997E-3</v>
      </c>
      <c r="E52" s="21">
        <f t="shared" ca="1" si="1"/>
        <v>0.21795227507756013</v>
      </c>
      <c r="F52" s="242" t="s">
        <v>37</v>
      </c>
      <c r="G52" s="243"/>
      <c r="H52" s="243"/>
      <c r="I52" s="243"/>
      <c r="J52" s="244" t="str" cm="1">
        <f t="array" aca="1" ref="J52" ca="1">IFERROR(INDEX(_xlfn.ANCHORARRAY($S$12),ROW()-12+1),"")</f>
        <v>GE</v>
      </c>
      <c r="K52" s="67">
        <f ca="1">IF(Tabla16[[#This Row],[Ticker]]="",0,SUMIF(Tablaholdings[Ticker],Tabla16[[#This Row],[Ticker]],Tablaholdings[Peso Real en Portafolio])/100)</f>
        <v>5.1658855269197468E-3</v>
      </c>
      <c r="L52" s="243"/>
      <c r="M52" s="243"/>
      <c r="N52" s="243"/>
      <c r="O52" s="243"/>
      <c r="P52" s="243"/>
      <c r="Q52" s="243"/>
      <c r="S52" s="227" t="str">
        <f ca="1"/>
        <v>GE</v>
      </c>
      <c r="AB52" s="14" t="s">
        <v>321</v>
      </c>
    </row>
    <row r="53" spans="1:28" ht="30" customHeight="1" x14ac:dyDescent="0.55000000000000004">
      <c r="A53" s="245" t="s">
        <v>322</v>
      </c>
      <c r="B53" s="246" t="s">
        <v>323</v>
      </c>
      <c r="C53" s="247">
        <v>2.8275999999999999E-2</v>
      </c>
      <c r="D53" s="248">
        <f t="shared" si="0"/>
        <v>2.8276000000000001E-4</v>
      </c>
      <c r="E53" s="69">
        <f t="shared" ca="1" si="1"/>
        <v>1.1354362208174516E-2</v>
      </c>
      <c r="F53" s="249" t="s">
        <v>37</v>
      </c>
      <c r="G53" s="220"/>
      <c r="H53" s="220"/>
      <c r="I53" s="220"/>
      <c r="J53" s="250" t="str" cm="1">
        <f t="array" aca="1" ref="J53" ca="1">IFERROR(INDEX(_xlfn.ANCHORARRAY($S$12),ROW()-12+1),"")</f>
        <v>JPM</v>
      </c>
      <c r="K53" s="70">
        <f ca="1">IF(Tabla16[[#This Row],[Ticker]]="",0,SUMIF(Tablaholdings[Ticker],Tabla16[[#This Row],[Ticker]],Tablaholdings[Peso Real en Portafolio])/100)</f>
        <v>5.0907465266208504E-3</v>
      </c>
      <c r="L53" s="220"/>
      <c r="M53" s="220"/>
      <c r="N53" s="220"/>
      <c r="O53" s="220"/>
      <c r="P53" s="220"/>
      <c r="Q53" s="220"/>
      <c r="S53" s="227" t="str">
        <f ca="1"/>
        <v>JPM</v>
      </c>
      <c r="AB53" s="14" t="s">
        <v>324</v>
      </c>
    </row>
    <row r="54" spans="1:28" ht="30" customHeight="1" x14ac:dyDescent="0.55000000000000004">
      <c r="A54" s="251" t="s">
        <v>325</v>
      </c>
      <c r="B54" s="252" t="s">
        <v>326</v>
      </c>
      <c r="C54" s="140">
        <v>2.5896761738</v>
      </c>
      <c r="D54" s="248">
        <f t="shared" si="0"/>
        <v>2.5896761737999999E-2</v>
      </c>
      <c r="E54" s="69">
        <f t="shared" ca="1" si="1"/>
        <v>0.77252317568421591</v>
      </c>
      <c r="F54" s="249" t="s">
        <v>39</v>
      </c>
      <c r="G54" s="220"/>
      <c r="H54" s="220"/>
      <c r="I54" s="220"/>
      <c r="J54" s="250" t="str" cm="1">
        <f t="array" aca="1" ref="J54" ca="1">IFERROR(INDEX(_xlfn.ANCHORARRAY($S$12),ROW()-12+1),"")</f>
        <v>PLTR</v>
      </c>
      <c r="K54" s="70">
        <f ca="1">IF(Tabla16[[#This Row],[Ticker]]="",0,SUMIF(Tablaholdings[Ticker],Tabla16[[#This Row],[Ticker]],Tablaholdings[Peso Real en Portafolio])/100)</f>
        <v>5.0894152713152263E-3</v>
      </c>
      <c r="L54" s="220"/>
      <c r="M54" s="220"/>
      <c r="N54" s="220"/>
      <c r="O54" s="220"/>
      <c r="P54" s="220"/>
      <c r="Q54" s="220"/>
      <c r="S54" s="227" t="str">
        <f ca="1"/>
        <v>PLTR</v>
      </c>
      <c r="AB54" s="14" t="s">
        <v>327</v>
      </c>
    </row>
    <row r="55" spans="1:28" ht="30" customHeight="1" x14ac:dyDescent="0.55000000000000004">
      <c r="A55" s="245" t="s">
        <v>325</v>
      </c>
      <c r="B55" s="246" t="s">
        <v>326</v>
      </c>
      <c r="C55" s="247">
        <v>1.1375</v>
      </c>
      <c r="D55" s="248">
        <f t="shared" si="0"/>
        <v>1.1375E-2</v>
      </c>
      <c r="E55" s="69">
        <f t="shared" ca="1" si="1"/>
        <v>0.45676853203418133</v>
      </c>
      <c r="F55" s="249" t="s">
        <v>37</v>
      </c>
      <c r="G55" s="220"/>
      <c r="H55" s="220"/>
      <c r="I55" s="220"/>
      <c r="J55" s="250" t="str" cm="1">
        <f t="array" aca="1" ref="J55" ca="1">IFERROR(INDEX(_xlfn.ANCHORARRAY($S$12),ROW()-12+1),"")</f>
        <v>GEV</v>
      </c>
      <c r="K55" s="70">
        <f ca="1">IF(Tabla16[[#This Row],[Ticker]]="",0,SUMIF(Tablaholdings[Ticker],Tabla16[[#This Row],[Ticker]],Tablaholdings[Peso Real en Portafolio])/100)</f>
        <v>4.9008677156467638E-3</v>
      </c>
      <c r="L55" s="220"/>
      <c r="M55" s="220"/>
      <c r="N55" s="220"/>
      <c r="O55" s="220"/>
      <c r="P55" s="220"/>
      <c r="Q55" s="220"/>
      <c r="S55" s="227" t="str">
        <f ca="1"/>
        <v>GEV</v>
      </c>
      <c r="AB55" s="14" t="s">
        <v>328</v>
      </c>
    </row>
    <row r="56" spans="1:28" ht="30" customHeight="1" x14ac:dyDescent="0.55000000000000004">
      <c r="A56" s="245" t="s">
        <v>329</v>
      </c>
      <c r="B56" s="246" t="s">
        <v>330</v>
      </c>
      <c r="C56" s="247">
        <v>8.3463999999999997E-2</v>
      </c>
      <c r="D56" s="248">
        <f t="shared" si="0"/>
        <v>8.3463999999999999E-4</v>
      </c>
      <c r="E56" s="69">
        <f t="shared" ca="1" si="1"/>
        <v>3.3515365940835963E-2</v>
      </c>
      <c r="F56" s="249" t="s">
        <v>37</v>
      </c>
      <c r="G56" s="220"/>
      <c r="H56" s="220"/>
      <c r="I56" s="220"/>
      <c r="J56" s="250" t="str" cm="1">
        <f t="array" aca="1" ref="J56" ca="1">IFERROR(INDEX(_xlfn.ANCHORARRAY($S$12),ROW()-12+1),"")</f>
        <v>OKE</v>
      </c>
      <c r="K56" s="70">
        <f ca="1">IF(Tabla16[[#This Row],[Ticker]]="",0,SUMIF(Tablaholdings[Ticker],Tabla16[[#This Row],[Ticker]],Tablaholdings[Peso Real en Portafolio])/100)</f>
        <v>4.7716041517774851E-3</v>
      </c>
      <c r="L56" s="220"/>
      <c r="M56" s="220"/>
      <c r="N56" s="220"/>
      <c r="O56" s="220"/>
      <c r="P56" s="220"/>
      <c r="Q56" s="220"/>
      <c r="S56" s="227" t="str">
        <f ca="1"/>
        <v>OKE</v>
      </c>
      <c r="AB56" s="14" t="s">
        <v>331</v>
      </c>
    </row>
    <row r="57" spans="1:28" ht="30" customHeight="1" x14ac:dyDescent="0.55000000000000004">
      <c r="A57" s="251" t="s">
        <v>332</v>
      </c>
      <c r="B57" s="252" t="s">
        <v>333</v>
      </c>
      <c r="C57" s="140">
        <v>3.5426403569999998</v>
      </c>
      <c r="D57" s="248">
        <f t="shared" si="0"/>
        <v>3.5426403570000001E-2</v>
      </c>
      <c r="E57" s="69">
        <f t="shared" ca="1" si="1"/>
        <v>1.0632755102410687</v>
      </c>
      <c r="F57" s="249" t="s">
        <v>38</v>
      </c>
      <c r="G57" s="220"/>
      <c r="H57" s="220"/>
      <c r="I57" s="220"/>
      <c r="J57" s="250" t="str" cm="1">
        <f t="array" aca="1" ref="J57" ca="1">IFERROR(INDEX(_xlfn.ANCHORARRAY($S$12),ROW()-12+1),"")</f>
        <v>F</v>
      </c>
      <c r="K57" s="70">
        <f ca="1">IF(Tabla16[[#This Row],[Ticker]]="",0,SUMIF(Tablaholdings[Ticker],Tabla16[[#This Row],[Ticker]],Tablaholdings[Peso Real en Portafolio])/100)</f>
        <v>4.7131117492358208E-3</v>
      </c>
      <c r="L57" s="220"/>
      <c r="M57" s="220"/>
      <c r="N57" s="220"/>
      <c r="O57" s="220"/>
      <c r="P57" s="220"/>
      <c r="Q57" s="220"/>
      <c r="S57" s="227" t="str">
        <f ca="1"/>
        <v>F</v>
      </c>
      <c r="AB57" s="14" t="s">
        <v>334</v>
      </c>
    </row>
    <row r="58" spans="1:28" ht="30" customHeight="1" x14ac:dyDescent="0.55000000000000004">
      <c r="A58" s="245" t="s">
        <v>332</v>
      </c>
      <c r="B58" s="246" t="s">
        <v>333</v>
      </c>
      <c r="C58" s="247">
        <v>0.28361500000000001</v>
      </c>
      <c r="D58" s="248">
        <f t="shared" si="0"/>
        <v>2.83615E-3</v>
      </c>
      <c r="E58" s="69">
        <f t="shared" ca="1" si="1"/>
        <v>0.11388695139593348</v>
      </c>
      <c r="F58" s="249" t="s">
        <v>37</v>
      </c>
      <c r="G58" s="220"/>
      <c r="H58" s="220"/>
      <c r="I58" s="220"/>
      <c r="J58" s="250" t="str" cm="1">
        <f t="array" aca="1" ref="J58" ca="1">IFERROR(INDEX(_xlfn.ANCHORARRAY($S$12),ROW()-12+1),"")</f>
        <v>TGT</v>
      </c>
      <c r="K58" s="70">
        <f ca="1">IF(Tabla16[[#This Row],[Ticker]]="",0,SUMIF(Tablaholdings[Ticker],Tabla16[[#This Row],[Ticker]],Tablaholdings[Peso Real en Portafolio])/100)</f>
        <v>4.6465090052600624E-3</v>
      </c>
      <c r="L58" s="220"/>
      <c r="M58" s="220"/>
      <c r="N58" s="220"/>
      <c r="O58" s="220"/>
      <c r="P58" s="220"/>
      <c r="Q58" s="220"/>
      <c r="S58" s="227" t="str">
        <f ca="1"/>
        <v>TGT</v>
      </c>
      <c r="AB58" s="14" t="s">
        <v>335</v>
      </c>
    </row>
    <row r="59" spans="1:28" ht="30" customHeight="1" x14ac:dyDescent="0.55000000000000004">
      <c r="A59" s="245" t="s">
        <v>336</v>
      </c>
      <c r="B59" s="246" t="s">
        <v>337</v>
      </c>
      <c r="C59" s="247">
        <v>6.6949999999999996E-2</v>
      </c>
      <c r="D59" s="248">
        <f t="shared" si="0"/>
        <v>6.6949999999999996E-4</v>
      </c>
      <c r="E59" s="69">
        <f t="shared" ca="1" si="1"/>
        <v>2.6884090742583241E-2</v>
      </c>
      <c r="F59" s="249" t="s">
        <v>37</v>
      </c>
      <c r="G59" s="220"/>
      <c r="H59" s="220"/>
      <c r="I59" s="220"/>
      <c r="J59" s="250" t="str" cm="1">
        <f t="array" aca="1" ref="J59" ca="1">IFERROR(INDEX(_xlfn.ANCHORARRAY($S$12),ROW()-12+1),"")</f>
        <v>DVN</v>
      </c>
      <c r="K59" s="70">
        <f ca="1">IF(Tabla16[[#This Row],[Ticker]]="",0,SUMIF(Tablaholdings[Ticker],Tabla16[[#This Row],[Ticker]],Tablaholdings[Peso Real en Portafolio])/100)</f>
        <v>4.5364406783748616E-3</v>
      </c>
      <c r="L59" s="220"/>
      <c r="M59" s="220"/>
      <c r="N59" s="220"/>
      <c r="O59" s="220"/>
      <c r="P59" s="220"/>
      <c r="Q59" s="220"/>
      <c r="S59" s="227" t="str">
        <f ca="1"/>
        <v>DVN</v>
      </c>
      <c r="AB59" s="14" t="s">
        <v>338</v>
      </c>
    </row>
    <row r="60" spans="1:28" ht="30" customHeight="1" x14ac:dyDescent="0.55000000000000004">
      <c r="A60" s="251" t="s">
        <v>339</v>
      </c>
      <c r="B60" s="252" t="s">
        <v>340</v>
      </c>
      <c r="C60" s="140">
        <v>1.4878334300000001E-2</v>
      </c>
      <c r="D60" s="248">
        <f t="shared" si="0"/>
        <v>1.48783343E-4</v>
      </c>
      <c r="E60" s="69">
        <f t="shared" ca="1" si="1"/>
        <v>4.4655304801434282E-3</v>
      </c>
      <c r="F60" s="249" t="s">
        <v>38</v>
      </c>
      <c r="G60" s="220"/>
      <c r="H60" s="220"/>
      <c r="I60" s="220"/>
      <c r="J60" s="250" t="str" cm="1">
        <f t="array" aca="1" ref="J60" ca="1">IFERROR(INDEX(_xlfn.ANCHORARRAY($S$12),ROW()-12+1),"")</f>
        <v>FAST</v>
      </c>
      <c r="K60" s="70">
        <f ca="1">IF(Tabla16[[#This Row],[Ticker]]="",0,SUMIF(Tablaholdings[Ticker],Tabla16[[#This Row],[Ticker]],Tablaholdings[Peso Real en Portafolio])/100)</f>
        <v>4.2129768120190789E-3</v>
      </c>
      <c r="L60" s="220"/>
      <c r="M60" s="220"/>
      <c r="N60" s="220"/>
      <c r="O60" s="220"/>
      <c r="P60" s="220"/>
      <c r="Q60" s="220"/>
      <c r="S60" s="227" t="str">
        <f ca="1"/>
        <v>FAST</v>
      </c>
      <c r="AB60" s="14" t="s">
        <v>341</v>
      </c>
    </row>
    <row r="61" spans="1:28" ht="30" customHeight="1" x14ac:dyDescent="0.55000000000000004">
      <c r="A61" s="245" t="s">
        <v>342</v>
      </c>
      <c r="B61" s="246" t="s">
        <v>343</v>
      </c>
      <c r="C61" s="247">
        <v>0.127357</v>
      </c>
      <c r="D61" s="248">
        <f t="shared" si="0"/>
        <v>1.2735699999999999E-3</v>
      </c>
      <c r="E61" s="69">
        <f t="shared" ca="1" si="1"/>
        <v>5.1140808733430534E-2</v>
      </c>
      <c r="F61" s="249" t="s">
        <v>37</v>
      </c>
      <c r="G61" s="220"/>
      <c r="H61" s="220"/>
      <c r="I61" s="220"/>
      <c r="J61" s="250" t="str" cm="1">
        <f t="array" aca="1" ref="J61" ca="1">IFERROR(INDEX(_xlfn.ANCHORARRAY($S$12),ROW()-12+1),"")</f>
        <v>KLAC</v>
      </c>
      <c r="K61" s="70">
        <f ca="1">IF(Tabla16[[#This Row],[Ticker]]="",0,SUMIF(Tablaholdings[Ticker],Tabla16[[#This Row],[Ticker]],Tablaholdings[Peso Real en Portafolio])/100)</f>
        <v>4.146415321975053E-3</v>
      </c>
      <c r="L61" s="220"/>
      <c r="M61" s="220"/>
      <c r="N61" s="220"/>
      <c r="O61" s="220"/>
      <c r="P61" s="220"/>
      <c r="Q61" s="220"/>
      <c r="S61" s="227" t="str">
        <f ca="1"/>
        <v>KLAC</v>
      </c>
      <c r="AB61" s="14" t="s">
        <v>344</v>
      </c>
    </row>
    <row r="62" spans="1:28" ht="30" customHeight="1" x14ac:dyDescent="0.55000000000000004">
      <c r="A62" s="251" t="s">
        <v>345</v>
      </c>
      <c r="B62" s="252" t="s">
        <v>346</v>
      </c>
      <c r="C62" s="140">
        <v>5.6722815990999997</v>
      </c>
      <c r="D62" s="248">
        <f t="shared" si="0"/>
        <v>5.6722815991E-2</v>
      </c>
      <c r="E62" s="69">
        <f t="shared" ca="1" si="1"/>
        <v>1.6920914818017292</v>
      </c>
      <c r="F62" s="249" t="s">
        <v>39</v>
      </c>
      <c r="G62" s="220"/>
      <c r="H62" s="220"/>
      <c r="I62" s="220"/>
      <c r="J62" s="250" t="str" cm="1">
        <f t="array" aca="1" ref="J62" ca="1">IFERROR(INDEX(_xlfn.ANCHORARRAY($S$12),ROW()-12+1),"")</f>
        <v>LIN</v>
      </c>
      <c r="K62" s="70">
        <f ca="1">IF(Tabla16[[#This Row],[Ticker]]="",0,SUMIF(Tablaholdings[Ticker],Tabla16[[#This Row],[Ticker]],Tablaholdings[Peso Real en Portafolio])/100)</f>
        <v>4.0328429030919251E-3</v>
      </c>
      <c r="L62" s="220"/>
      <c r="M62" s="220"/>
      <c r="N62" s="220"/>
      <c r="O62" s="220"/>
      <c r="P62" s="220"/>
      <c r="Q62" s="220"/>
      <c r="S62" s="227" t="str">
        <f ca="1"/>
        <v>LIN</v>
      </c>
      <c r="AB62" s="14" t="s">
        <v>347</v>
      </c>
    </row>
    <row r="63" spans="1:28" ht="30" customHeight="1" x14ac:dyDescent="0.55000000000000004">
      <c r="A63" s="245" t="s">
        <v>345</v>
      </c>
      <c r="B63" s="246" t="s">
        <v>346</v>
      </c>
      <c r="C63" s="247">
        <v>4.1327319999999999</v>
      </c>
      <c r="D63" s="248">
        <f t="shared" si="0"/>
        <v>4.1327320000000001E-2</v>
      </c>
      <c r="E63" s="69">
        <f t="shared" ca="1" si="1"/>
        <v>1.6595181792797242</v>
      </c>
      <c r="F63" s="249" t="s">
        <v>37</v>
      </c>
      <c r="G63" s="220"/>
      <c r="H63" s="220"/>
      <c r="I63" s="220"/>
      <c r="J63" s="250" t="str" cm="1">
        <f t="array" aca="1" ref="J63" ca="1">IFERROR(INDEX(_xlfn.ANCHORARRAY($S$12),ROW()-12+1),"")</f>
        <v>XOM</v>
      </c>
      <c r="K63" s="70">
        <f ca="1">IF(Tabla16[[#This Row],[Ticker]]="",0,SUMIF(Tablaholdings[Ticker],Tabla16[[#This Row],[Ticker]],Tablaholdings[Peso Real en Portafolio])/100)</f>
        <v>3.9832263922623141E-3</v>
      </c>
      <c r="L63" s="220"/>
      <c r="M63" s="220"/>
      <c r="N63" s="220"/>
      <c r="O63" s="220"/>
      <c r="P63" s="220"/>
      <c r="Q63" s="220"/>
      <c r="S63" s="227" t="str">
        <f ca="1"/>
        <v>XOM</v>
      </c>
      <c r="AB63" s="14" t="s">
        <v>348</v>
      </c>
    </row>
    <row r="64" spans="1:28" ht="30" customHeight="1" x14ac:dyDescent="0.55000000000000004">
      <c r="A64" s="251" t="s">
        <v>349</v>
      </c>
      <c r="B64" s="252" t="s">
        <v>350</v>
      </c>
      <c r="C64" s="140">
        <v>0.53939528510000001</v>
      </c>
      <c r="D64" s="248">
        <f t="shared" si="0"/>
        <v>5.3939528510000001E-3</v>
      </c>
      <c r="E64" s="69">
        <f t="shared" ca="1" si="1"/>
        <v>0.1609063568682029</v>
      </c>
      <c r="F64" s="249" t="s">
        <v>39</v>
      </c>
      <c r="G64" s="220"/>
      <c r="H64" s="220"/>
      <c r="I64" s="220"/>
      <c r="J64" s="250" t="str" cm="1">
        <f t="array" aca="1" ref="J64" ca="1">IFERROR(INDEX(_xlfn.ANCHORARRAY($S$12),ROW()-12+1),"")</f>
        <v>WMT</v>
      </c>
      <c r="K64" s="70">
        <f ca="1">IF(Tabla16[[#This Row],[Ticker]]="",0,SUMIF(Tablaholdings[Ticker],Tabla16[[#This Row],[Ticker]],Tablaholdings[Peso Real en Portafolio])/100)</f>
        <v>3.6241641628343368E-3</v>
      </c>
      <c r="L64" s="220"/>
      <c r="M64" s="220"/>
      <c r="N64" s="220"/>
      <c r="O64" s="220"/>
      <c r="P64" s="220"/>
      <c r="Q64" s="220"/>
      <c r="S64" s="227" t="str">
        <f ca="1"/>
        <v>WMT</v>
      </c>
      <c r="AB64" s="14" t="s">
        <v>351</v>
      </c>
    </row>
    <row r="65" spans="1:28" ht="30" customHeight="1" x14ac:dyDescent="0.55000000000000004">
      <c r="A65" s="245" t="s">
        <v>349</v>
      </c>
      <c r="B65" s="246" t="s">
        <v>350</v>
      </c>
      <c r="C65" s="247">
        <v>0.22744</v>
      </c>
      <c r="D65" s="248">
        <f t="shared" si="0"/>
        <v>2.2744000000000002E-3</v>
      </c>
      <c r="E65" s="69">
        <f t="shared" ca="1" si="1"/>
        <v>9.1329613121630071E-2</v>
      </c>
      <c r="F65" s="249" t="s">
        <v>37</v>
      </c>
      <c r="G65" s="220"/>
      <c r="H65" s="220"/>
      <c r="I65" s="220"/>
      <c r="J65" s="250" t="str" cm="1">
        <f t="array" aca="1" ref="J65" ca="1">IFERROR(INDEX(_xlfn.ANCHORARRAY($S$12),ROW()-12+1),"")</f>
        <v>FITB</v>
      </c>
      <c r="K65" s="70">
        <f ca="1">IF(Tabla16[[#This Row],[Ticker]]="",0,SUMIF(Tablaholdings[Ticker],Tabla16[[#This Row],[Ticker]],Tablaholdings[Peso Real en Portafolio])/100)</f>
        <v>3.580437364305732E-3</v>
      </c>
      <c r="L65" s="220"/>
      <c r="M65" s="220"/>
      <c r="N65" s="220"/>
      <c r="O65" s="220"/>
      <c r="P65" s="220"/>
      <c r="Q65" s="220"/>
      <c r="S65" s="227" t="str">
        <f ca="1"/>
        <v>FITB</v>
      </c>
      <c r="AB65" s="14" t="s">
        <v>352</v>
      </c>
    </row>
    <row r="66" spans="1:28" ht="30" customHeight="1" x14ac:dyDescent="0.55000000000000004">
      <c r="A66" s="245" t="s">
        <v>353</v>
      </c>
      <c r="B66" s="246" t="s">
        <v>354</v>
      </c>
      <c r="C66" s="247">
        <v>0.104544</v>
      </c>
      <c r="D66" s="248">
        <f t="shared" si="0"/>
        <v>1.0454399999999999E-3</v>
      </c>
      <c r="E66" s="69">
        <f t="shared" ca="1" si="1"/>
        <v>4.1980140143280401E-2</v>
      </c>
      <c r="F66" s="249" t="s">
        <v>37</v>
      </c>
      <c r="G66" s="220"/>
      <c r="H66" s="220"/>
      <c r="I66" s="220"/>
      <c r="J66" s="250" t="str" cm="1">
        <f t="array" aca="1" ref="J66" ca="1">IFERROR(INDEX(_xlfn.ANCHORARRAY($S$12),ROW()-12+1),"")</f>
        <v>INTC</v>
      </c>
      <c r="K66" s="70">
        <f ca="1">IF(Tabla16[[#This Row],[Ticker]]="",0,SUMIF(Tablaholdings[Ticker],Tabla16[[#This Row],[Ticker]],Tablaholdings[Peso Real en Portafolio])/100)</f>
        <v>3.5517999807175189E-3</v>
      </c>
      <c r="L66" s="220"/>
      <c r="M66" s="220"/>
      <c r="N66" s="220"/>
      <c r="O66" s="220"/>
      <c r="P66" s="220"/>
      <c r="Q66" s="220"/>
      <c r="S66" s="227" t="str">
        <f ca="1"/>
        <v>INTC</v>
      </c>
      <c r="AB66" s="14" t="s">
        <v>355</v>
      </c>
    </row>
    <row r="67" spans="1:28" ht="30" customHeight="1" x14ac:dyDescent="0.55000000000000004">
      <c r="A67" s="245" t="s">
        <v>356</v>
      </c>
      <c r="B67" s="246" t="s">
        <v>357</v>
      </c>
      <c r="C67" s="247">
        <v>1.0059999999999999E-2</v>
      </c>
      <c r="D67" s="248">
        <f t="shared" si="0"/>
        <v>1.0059999999999999E-4</v>
      </c>
      <c r="E67" s="69">
        <f t="shared" ca="1" si="1"/>
        <v>4.0396408195726274E-3</v>
      </c>
      <c r="F67" s="249" t="s">
        <v>37</v>
      </c>
      <c r="G67" s="220"/>
      <c r="H67" s="220"/>
      <c r="I67" s="220"/>
      <c r="J67" s="250" t="str" cm="1">
        <f t="array" aca="1" ref="J67" ca="1">IFERROR(INDEX(_xlfn.ANCHORARRAY($S$12),ROW()-12+1),"")</f>
        <v>JNJ</v>
      </c>
      <c r="K67" s="70">
        <f ca="1">IF(Tabla16[[#This Row],[Ticker]]="",0,SUMIF(Tablaholdings[Ticker],Tabla16[[#This Row],[Ticker]],Tablaholdings[Peso Real en Portafolio])/100)</f>
        <v>3.4919843846455967E-3</v>
      </c>
      <c r="L67" s="220"/>
      <c r="M67" s="220"/>
      <c r="N67" s="220"/>
      <c r="O67" s="220"/>
      <c r="P67" s="220"/>
      <c r="Q67" s="220"/>
      <c r="S67" s="227" t="str">
        <f ca="1"/>
        <v>JNJ</v>
      </c>
      <c r="AB67" s="14" t="s">
        <v>358</v>
      </c>
    </row>
    <row r="68" spans="1:28" ht="30" customHeight="1" x14ac:dyDescent="0.55000000000000004">
      <c r="A68" s="251" t="s">
        <v>359</v>
      </c>
      <c r="B68" s="252" t="s">
        <v>360</v>
      </c>
      <c r="C68" s="140">
        <v>0.3385428251</v>
      </c>
      <c r="D68" s="248">
        <f t="shared" si="0"/>
        <v>3.3854282510000001E-3</v>
      </c>
      <c r="E68" s="69">
        <f t="shared" ca="1" si="1"/>
        <v>0.10160904264114536</v>
      </c>
      <c r="F68" s="249" t="s">
        <v>38</v>
      </c>
      <c r="G68" s="220"/>
      <c r="H68" s="220"/>
      <c r="I68" s="220"/>
      <c r="J68" s="250" t="str" cm="1">
        <f t="array" aca="1" ref="J68" ca="1">IFERROR(INDEX(_xlfn.ANCHORARRAY($S$12),ROW()-12+1),"")</f>
        <v>ADM</v>
      </c>
      <c r="K68" s="70">
        <f ca="1">IF(Tabla16[[#This Row],[Ticker]]="",0,SUMIF(Tablaholdings[Ticker],Tabla16[[#This Row],[Ticker]],Tablaholdings[Peso Real en Portafolio])/100)</f>
        <v>3.2701990571698623E-3</v>
      </c>
      <c r="L68" s="220"/>
      <c r="M68" s="220"/>
      <c r="N68" s="220"/>
      <c r="O68" s="220"/>
      <c r="P68" s="220"/>
      <c r="Q68" s="220"/>
      <c r="S68" s="227" t="str">
        <f ca="1"/>
        <v>ADM</v>
      </c>
      <c r="AB68" s="14" t="s">
        <v>361</v>
      </c>
    </row>
    <row r="69" spans="1:28" ht="30" customHeight="1" x14ac:dyDescent="0.55000000000000004">
      <c r="A69" s="245" t="s">
        <v>359</v>
      </c>
      <c r="B69" s="246" t="s">
        <v>360</v>
      </c>
      <c r="C69" s="247">
        <v>2.0591000000000002E-2</v>
      </c>
      <c r="D69" s="248">
        <f t="shared" si="0"/>
        <v>2.0591000000000001E-4</v>
      </c>
      <c r="E69" s="69">
        <f t="shared" ca="1" si="1"/>
        <v>8.2684139280139145E-3</v>
      </c>
      <c r="F69" s="249" t="s">
        <v>37</v>
      </c>
      <c r="G69" s="220"/>
      <c r="H69" s="220"/>
      <c r="I69" s="220"/>
      <c r="J69" s="250" t="str" cm="1">
        <f t="array" aca="1" ref="J69" ca="1">IFERROR(INDEX(_xlfn.ANCHORARRAY($S$12),ROW()-12+1),"")</f>
        <v>PANW</v>
      </c>
      <c r="K69" s="70">
        <f ca="1">IF(Tabla16[[#This Row],[Ticker]]="",0,SUMIF(Tablaholdings[Ticker],Tabla16[[#This Row],[Ticker]],Tablaholdings[Peso Real en Portafolio])/100)</f>
        <v>3.1861348928131018E-3</v>
      </c>
      <c r="L69" s="220"/>
      <c r="M69" s="220"/>
      <c r="N69" s="220"/>
      <c r="O69" s="220"/>
      <c r="P69" s="220"/>
      <c r="Q69" s="220"/>
      <c r="S69" s="227" t="str">
        <f ca="1"/>
        <v>PANW</v>
      </c>
      <c r="AB69" s="14" t="s">
        <v>362</v>
      </c>
    </row>
    <row r="70" spans="1:28" ht="30" customHeight="1" x14ac:dyDescent="0.55000000000000004">
      <c r="A70" s="251" t="s">
        <v>363</v>
      </c>
      <c r="B70" s="252" t="s">
        <v>364</v>
      </c>
      <c r="C70" s="140">
        <v>6.7372932900000002E-2</v>
      </c>
      <c r="D70" s="248">
        <f t="shared" si="0"/>
        <v>6.7372932900000007E-4</v>
      </c>
      <c r="E70" s="69">
        <f t="shared" ca="1" si="1"/>
        <v>2.022107309429174E-2</v>
      </c>
      <c r="F70" s="249" t="s">
        <v>38</v>
      </c>
      <c r="G70" s="220"/>
      <c r="H70" s="220"/>
      <c r="I70" s="220"/>
      <c r="J70" s="250" t="str" cm="1">
        <f t="array" aca="1" ref="J70" ca="1">IFERROR(INDEX(_xlfn.ANCHORARRAY($S$12),ROW()-12+1),"")</f>
        <v>DIS</v>
      </c>
      <c r="K70" s="70">
        <f ca="1">IF(Tabla16[[#This Row],[Ticker]]="",0,SUMIF(Tablaholdings[Ticker],Tabla16[[#This Row],[Ticker]],Tablaholdings[Peso Real en Portafolio])/100)</f>
        <v>3.1426760408051493E-3</v>
      </c>
      <c r="L70" s="220"/>
      <c r="M70" s="220"/>
      <c r="N70" s="220"/>
      <c r="O70" s="220"/>
      <c r="P70" s="220"/>
      <c r="Q70" s="220"/>
      <c r="S70" s="227" t="str">
        <f ca="1"/>
        <v>DIS</v>
      </c>
      <c r="AB70" s="14" t="s">
        <v>365</v>
      </c>
    </row>
    <row r="71" spans="1:28" ht="30" customHeight="1" x14ac:dyDescent="0.55000000000000004">
      <c r="A71" s="245" t="s">
        <v>366</v>
      </c>
      <c r="B71" s="246" t="s">
        <v>367</v>
      </c>
      <c r="C71" s="247">
        <v>0.10670300000000001</v>
      </c>
      <c r="D71" s="248">
        <f t="shared" si="0"/>
        <v>1.0670300000000001E-3</v>
      </c>
      <c r="E71" s="69">
        <f t="shared" ca="1" si="1"/>
        <v>4.2847096855950111E-2</v>
      </c>
      <c r="F71" s="249" t="s">
        <v>37</v>
      </c>
      <c r="G71" s="220"/>
      <c r="H71" s="220"/>
      <c r="I71" s="220"/>
      <c r="J71" s="250" t="str" cm="1">
        <f t="array" aca="1" ref="J71" ca="1">IFERROR(INDEX(_xlfn.ANCHORARRAY($S$12),ROW()-12+1),"")</f>
        <v>TMO</v>
      </c>
      <c r="K71" s="70">
        <f ca="1">IF(Tabla16[[#This Row],[Ticker]]="",0,SUMIF(Tablaholdings[Ticker],Tabla16[[#This Row],[Ticker]],Tablaholdings[Peso Real en Portafolio])/100)</f>
        <v>2.8315455650508902E-3</v>
      </c>
      <c r="L71" s="220"/>
      <c r="M71" s="220"/>
      <c r="N71" s="220"/>
      <c r="O71" s="220"/>
      <c r="P71" s="220"/>
      <c r="Q71" s="220"/>
      <c r="S71" s="227" t="str">
        <f ca="1"/>
        <v>TMO</v>
      </c>
      <c r="AB71" s="14" t="s">
        <v>368</v>
      </c>
    </row>
    <row r="72" spans="1:28" ht="30" customHeight="1" x14ac:dyDescent="0.55000000000000004">
      <c r="A72" s="245" t="s">
        <v>369</v>
      </c>
      <c r="B72" s="246" t="s">
        <v>370</v>
      </c>
      <c r="C72" s="247">
        <v>0.239866</v>
      </c>
      <c r="D72" s="248">
        <f t="shared" si="0"/>
        <v>2.3986599999999999E-3</v>
      </c>
      <c r="E72" s="69">
        <f t="shared" ca="1" si="1"/>
        <v>9.6319332487833795E-2</v>
      </c>
      <c r="F72" s="249" t="s">
        <v>37</v>
      </c>
      <c r="G72" s="220"/>
      <c r="H72" s="220"/>
      <c r="I72" s="220"/>
      <c r="J72" s="250" t="str" cm="1">
        <f t="array" aca="1" ref="J72" ca="1">IFERROR(INDEX(_xlfn.ANCHORARRAY($S$12),ROW()-12+1),"")</f>
        <v>KMB</v>
      </c>
      <c r="K72" s="70">
        <f ca="1">IF(Tabla16[[#This Row],[Ticker]]="",0,SUMIF(Tablaholdings[Ticker],Tabla16[[#This Row],[Ticker]],Tablaholdings[Peso Real en Portafolio])/100)</f>
        <v>2.679233737658035E-3</v>
      </c>
      <c r="L72" s="220"/>
      <c r="M72" s="220"/>
      <c r="N72" s="220"/>
      <c r="O72" s="220"/>
      <c r="P72" s="220"/>
      <c r="Q72" s="220"/>
      <c r="S72" s="227" t="str">
        <f ca="1"/>
        <v>KMB</v>
      </c>
      <c r="AB72" s="14" t="s">
        <v>371</v>
      </c>
    </row>
    <row r="73" spans="1:28" ht="30" customHeight="1" x14ac:dyDescent="0.55000000000000004">
      <c r="A73" s="251" t="s">
        <v>372</v>
      </c>
      <c r="B73" s="252" t="s">
        <v>373</v>
      </c>
      <c r="C73" s="140">
        <v>0.22191073210000001</v>
      </c>
      <c r="D73" s="248">
        <f t="shared" si="0"/>
        <v>2.2191073210000001E-3</v>
      </c>
      <c r="E73" s="69">
        <f t="shared" ca="1" si="1"/>
        <v>6.6197922819341989E-2</v>
      </c>
      <c r="F73" s="249" t="s">
        <v>39</v>
      </c>
      <c r="G73" s="220"/>
      <c r="H73" s="220"/>
      <c r="I73" s="220"/>
      <c r="J73" s="250" t="str" cm="1">
        <f t="array" aca="1" ref="J73" ca="1">IFERROR(INDEX(_xlfn.ANCHORARRAY($S$12),ROW()-12+1),"")</f>
        <v>BLK</v>
      </c>
      <c r="K73" s="70">
        <f ca="1">IF(Tabla16[[#This Row],[Ticker]]="",0,SUMIF(Tablaholdings[Ticker],Tabla16[[#This Row],[Ticker]],Tablaholdings[Peso Real en Portafolio])/100)</f>
        <v>2.6640781681577862E-3</v>
      </c>
      <c r="L73" s="220"/>
      <c r="M73" s="220"/>
      <c r="N73" s="220"/>
      <c r="O73" s="220"/>
      <c r="P73" s="220"/>
      <c r="Q73" s="220"/>
      <c r="S73" s="227" t="str">
        <f ca="1"/>
        <v>BLK</v>
      </c>
      <c r="AB73" s="14" t="s">
        <v>374</v>
      </c>
    </row>
    <row r="74" spans="1:28" ht="30" customHeight="1" x14ac:dyDescent="0.55000000000000004">
      <c r="A74" s="245" t="s">
        <v>372</v>
      </c>
      <c r="B74" s="246" t="s">
        <v>373</v>
      </c>
      <c r="C74" s="247">
        <v>9.5654000000000003E-2</v>
      </c>
      <c r="D74" s="248">
        <f t="shared" si="0"/>
        <v>9.5654000000000008E-4</v>
      </c>
      <c r="E74" s="69">
        <f t="shared" ca="1" si="1"/>
        <v>3.8410318385228646E-2</v>
      </c>
      <c r="F74" s="249" t="s">
        <v>37</v>
      </c>
      <c r="G74" s="220"/>
      <c r="H74" s="220"/>
      <c r="I74" s="220"/>
      <c r="J74" s="250" t="str" cm="1">
        <f t="array" aca="1" ref="J74" ca="1">IFERROR(INDEX(_xlfn.ANCHORARRAY($S$12),ROW()-12+1),"")</f>
        <v>CAT</v>
      </c>
      <c r="K74" s="70">
        <f ca="1">IF(Tabla16[[#This Row],[Ticker]]="",0,SUMIF(Tablaholdings[Ticker],Tabla16[[#This Row],[Ticker]],Tablaholdings[Peso Real en Portafolio])/100)</f>
        <v>2.6401984105607211E-3</v>
      </c>
      <c r="L74" s="220"/>
      <c r="M74" s="220"/>
      <c r="N74" s="220"/>
      <c r="O74" s="220"/>
      <c r="P74" s="220"/>
      <c r="Q74" s="220"/>
      <c r="S74" s="227" t="str">
        <f ca="1"/>
        <v>CAT</v>
      </c>
      <c r="AB74" s="14" t="s">
        <v>375</v>
      </c>
    </row>
    <row r="75" spans="1:28" ht="30" customHeight="1" x14ac:dyDescent="0.55000000000000004">
      <c r="A75" s="251" t="s">
        <v>376</v>
      </c>
      <c r="B75" s="252" t="s">
        <v>377</v>
      </c>
      <c r="C75" s="140">
        <v>0.46393518020000002</v>
      </c>
      <c r="D75" s="248">
        <f t="shared" si="0"/>
        <v>4.6393518020000002E-3</v>
      </c>
      <c r="E75" s="69">
        <f t="shared" ca="1" si="1"/>
        <v>0.13839594399705521</v>
      </c>
      <c r="F75" s="249" t="s">
        <v>39</v>
      </c>
      <c r="G75" s="220"/>
      <c r="H75" s="220"/>
      <c r="I75" s="220"/>
      <c r="J75" s="250" t="str" cm="1">
        <f t="array" aca="1" ref="J75" ca="1">IFERROR(INDEX(_xlfn.ANCHORARRAY($S$12),ROW()-12+1),"")</f>
        <v>CRM</v>
      </c>
      <c r="K75" s="70">
        <f ca="1">IF(Tabla16[[#This Row],[Ticker]]="",0,SUMIF(Tablaholdings[Ticker],Tabla16[[#This Row],[Ticker]],Tablaholdings[Peso Real en Portafolio])/100)</f>
        <v>2.6300742941450551E-3</v>
      </c>
      <c r="L75" s="220"/>
      <c r="M75" s="220"/>
      <c r="N75" s="220"/>
      <c r="O75" s="220"/>
      <c r="P75" s="220"/>
      <c r="Q75" s="220"/>
      <c r="S75" s="227" t="str">
        <f ca="1"/>
        <v>CRM</v>
      </c>
      <c r="AB75" s="14" t="s">
        <v>378</v>
      </c>
    </row>
    <row r="76" spans="1:28" ht="30" customHeight="1" x14ac:dyDescent="0.55000000000000004">
      <c r="A76" s="245" t="s">
        <v>376</v>
      </c>
      <c r="B76" s="246" t="s">
        <v>377</v>
      </c>
      <c r="C76" s="247">
        <v>0.19279099999999999</v>
      </c>
      <c r="D76" s="248">
        <f t="shared" ref="D76:D139" si="2">C76/100</f>
        <v>1.9279099999999999E-3</v>
      </c>
      <c r="E76" s="69">
        <f t="shared" ref="E76:E139" ca="1" si="3">C76 * VLOOKUP(F76, $A$6:$B$8, 2, FALSE)</f>
        <v>7.7416142469803828E-2</v>
      </c>
      <c r="F76" s="249" t="s">
        <v>37</v>
      </c>
      <c r="G76" s="220"/>
      <c r="H76" s="220"/>
      <c r="I76" s="220"/>
      <c r="J76" s="250" t="str" cm="1">
        <f t="array" aca="1" ref="J76" ca="1">IFERROR(INDEX(_xlfn.ANCHORARRAY($S$12),ROW()-12+1),"")</f>
        <v>UBER</v>
      </c>
      <c r="K76" s="70">
        <f ca="1">IF(Tabla16[[#This Row],[Ticker]]="",0,SUMIF(Tablaholdings[Ticker],Tabla16[[#This Row],[Ticker]],Tablaholdings[Peso Real en Portafolio])/100)</f>
        <v>2.590378129987414E-3</v>
      </c>
      <c r="L76" s="220"/>
      <c r="M76" s="220"/>
      <c r="N76" s="220"/>
      <c r="O76" s="220"/>
      <c r="P76" s="220"/>
      <c r="Q76" s="220"/>
      <c r="S76" s="227" t="str">
        <f ca="1"/>
        <v>UBER</v>
      </c>
      <c r="AB76" s="14" t="s">
        <v>379</v>
      </c>
    </row>
    <row r="77" spans="1:28" ht="30" customHeight="1" x14ac:dyDescent="0.55000000000000004">
      <c r="A77" s="245" t="s">
        <v>380</v>
      </c>
      <c r="B77" s="246" t="s">
        <v>381</v>
      </c>
      <c r="C77" s="247">
        <v>1.8095E-2</v>
      </c>
      <c r="D77" s="248">
        <f t="shared" si="2"/>
        <v>1.8095000000000001E-4</v>
      </c>
      <c r="E77" s="69">
        <f t="shared" ca="1" si="3"/>
        <v>7.2661332634360535E-3</v>
      </c>
      <c r="F77" s="249" t="s">
        <v>37</v>
      </c>
      <c r="G77" s="220"/>
      <c r="H77" s="220"/>
      <c r="I77" s="220"/>
      <c r="J77" s="250" t="str" cm="1">
        <f t="array" aca="1" ref="J77" ca="1">IFERROR(INDEX(_xlfn.ANCHORARRAY($S$12),ROW()-12+1),"")</f>
        <v>ISRG</v>
      </c>
      <c r="K77" s="70">
        <f ca="1">IF(Tabla16[[#This Row],[Ticker]]="",0,SUMIF(Tablaholdings[Ticker],Tabla16[[#This Row],[Ticker]],Tablaholdings[Peso Real en Portafolio])/100)</f>
        <v>2.5706322516179329E-3</v>
      </c>
      <c r="L77" s="220"/>
      <c r="M77" s="220"/>
      <c r="N77" s="220"/>
      <c r="O77" s="220"/>
      <c r="P77" s="220"/>
      <c r="Q77" s="220"/>
      <c r="S77" s="227" t="str">
        <f ca="1"/>
        <v>ISRG</v>
      </c>
      <c r="AB77" s="14" t="s">
        <v>382</v>
      </c>
    </row>
    <row r="78" spans="1:28" ht="30" customHeight="1" x14ac:dyDescent="0.55000000000000004">
      <c r="A78" s="245" t="s">
        <v>383</v>
      </c>
      <c r="B78" s="246" t="s">
        <v>384</v>
      </c>
      <c r="C78" s="247">
        <v>1.1589E-2</v>
      </c>
      <c r="D78" s="248">
        <f t="shared" si="2"/>
        <v>1.1589E-4</v>
      </c>
      <c r="E78" s="69">
        <f t="shared" ca="1" si="3"/>
        <v>4.6536180375772547E-3</v>
      </c>
      <c r="F78" s="249" t="s">
        <v>37</v>
      </c>
      <c r="G78" s="220"/>
      <c r="H78" s="220"/>
      <c r="I78" s="220"/>
      <c r="J78" s="250" t="str" cm="1">
        <f t="array" aca="1" ref="J78" ca="1">IFERROR(INDEX(_xlfn.ANCHORARRAY($S$12),ROW()-12+1),"")</f>
        <v>CSCO</v>
      </c>
      <c r="K78" s="70">
        <f ca="1">IF(Tabla16[[#This Row],[Ticker]]="",0,SUMIF(Tablaholdings[Ticker],Tabla16[[#This Row],[Ticker]],Tablaholdings[Peso Real en Portafolio])/100)</f>
        <v>2.5314212434022687E-3</v>
      </c>
      <c r="L78" s="220"/>
      <c r="M78" s="220"/>
      <c r="N78" s="220"/>
      <c r="O78" s="220"/>
      <c r="P78" s="220"/>
      <c r="Q78" s="220"/>
      <c r="S78" s="227" t="str">
        <f ca="1"/>
        <v>CSCO</v>
      </c>
      <c r="AB78" s="14" t="s">
        <v>385</v>
      </c>
    </row>
    <row r="79" spans="1:28" ht="30" customHeight="1" x14ac:dyDescent="0.55000000000000004">
      <c r="A79" s="251" t="s">
        <v>386</v>
      </c>
      <c r="B79" s="252" t="s">
        <v>387</v>
      </c>
      <c r="C79" s="140">
        <v>0.68084351489999995</v>
      </c>
      <c r="D79" s="248">
        <f t="shared" si="2"/>
        <v>6.8084351489999997E-3</v>
      </c>
      <c r="E79" s="69">
        <f t="shared" ca="1" si="3"/>
        <v>0.20434595746339265</v>
      </c>
      <c r="F79" s="249" t="s">
        <v>38</v>
      </c>
      <c r="G79" s="220"/>
      <c r="H79" s="220"/>
      <c r="I79" s="220"/>
      <c r="J79" s="250" t="str" cm="1">
        <f t="array" aca="1" ref="J79" ca="1">IFERROR(INDEX(_xlfn.ANCHORARRAY($S$12),ROW()-12+1),"")</f>
        <v>ANET</v>
      </c>
      <c r="K79" s="70">
        <f ca="1">IF(Tabla16[[#This Row],[Ticker]]="",0,SUMIF(Tablaholdings[Ticker],Tabla16[[#This Row],[Ticker]],Tablaholdings[Peso Real en Portafolio])/100)</f>
        <v>2.5223596998983299E-3</v>
      </c>
      <c r="L79" s="220"/>
      <c r="M79" s="220"/>
      <c r="N79" s="220"/>
      <c r="O79" s="220"/>
      <c r="P79" s="220"/>
      <c r="Q79" s="220"/>
      <c r="S79" s="227" t="str">
        <f ca="1"/>
        <v>ANET</v>
      </c>
      <c r="AB79" s="14" t="s">
        <v>388</v>
      </c>
    </row>
    <row r="80" spans="1:28" ht="30" customHeight="1" x14ac:dyDescent="0.55000000000000004">
      <c r="A80" s="245" t="s">
        <v>386</v>
      </c>
      <c r="B80" s="246" t="s">
        <v>389</v>
      </c>
      <c r="C80" s="247">
        <v>3.9726999999999998E-2</v>
      </c>
      <c r="D80" s="248">
        <f t="shared" si="2"/>
        <v>3.9726999999999997E-4</v>
      </c>
      <c r="E80" s="69">
        <f t="shared" ca="1" si="3"/>
        <v>1.5952565689777515E-2</v>
      </c>
      <c r="F80" s="249" t="s">
        <v>37</v>
      </c>
      <c r="G80" s="220"/>
      <c r="H80" s="220"/>
      <c r="I80" s="220"/>
      <c r="J80" s="250" t="str" cm="1">
        <f t="array" aca="1" ref="J80" ca="1">IFERROR(INDEX(_xlfn.ANCHORARRAY($S$12),ROW()-12+1),"")</f>
        <v>CRWD</v>
      </c>
      <c r="K80" s="70">
        <f ca="1">IF(Tabla16[[#This Row],[Ticker]]="",0,SUMIF(Tablaholdings[Ticker],Tabla16[[#This Row],[Ticker]],Tablaholdings[Peso Real en Portafolio])/100)</f>
        <v>2.4344458429141499E-3</v>
      </c>
      <c r="L80" s="220"/>
      <c r="M80" s="220"/>
      <c r="N80" s="220"/>
      <c r="O80" s="220"/>
      <c r="P80" s="220"/>
      <c r="Q80" s="220"/>
      <c r="S80" s="227" t="str">
        <f ca="1"/>
        <v>CRWD</v>
      </c>
      <c r="AB80" s="14" t="s">
        <v>390</v>
      </c>
    </row>
    <row r="81" spans="1:28" ht="30" customHeight="1" x14ac:dyDescent="0.55000000000000004">
      <c r="A81" s="245" t="s">
        <v>391</v>
      </c>
      <c r="B81" s="246" t="s">
        <v>392</v>
      </c>
      <c r="C81" s="247">
        <v>4.6592000000000001E-2</v>
      </c>
      <c r="D81" s="248">
        <f t="shared" si="2"/>
        <v>4.6592000000000004E-4</v>
      </c>
      <c r="E81" s="69">
        <f t="shared" ca="1" si="3"/>
        <v>1.8709239072120069E-2</v>
      </c>
      <c r="F81" s="249" t="s">
        <v>37</v>
      </c>
      <c r="G81" s="220"/>
      <c r="H81" s="220"/>
      <c r="I81" s="220"/>
      <c r="J81" s="250" t="str" cm="1">
        <f t="array" aca="1" ref="J81" ca="1">IFERROR(INDEX(_xlfn.ANCHORARRAY($S$12),ROW()-12+1),"")</f>
        <v>VRT</v>
      </c>
      <c r="K81" s="70">
        <f ca="1">IF(Tabla16[[#This Row],[Ticker]]="",0,SUMIF(Tablaholdings[Ticker],Tabla16[[#This Row],[Ticker]],Tablaholdings[Peso Real en Portafolio])/100)</f>
        <v>2.4049356116580905E-3</v>
      </c>
      <c r="L81" s="220"/>
      <c r="M81" s="220"/>
      <c r="N81" s="220"/>
      <c r="O81" s="220"/>
      <c r="P81" s="220"/>
      <c r="Q81" s="220"/>
      <c r="S81" s="227" t="str">
        <f ca="1"/>
        <v>VRT</v>
      </c>
      <c r="AB81" s="14" t="s">
        <v>393</v>
      </c>
    </row>
    <row r="82" spans="1:28" ht="30" customHeight="1" x14ac:dyDescent="0.55000000000000004">
      <c r="A82" s="245" t="s">
        <v>394</v>
      </c>
      <c r="B82" s="246" t="s">
        <v>395</v>
      </c>
      <c r="C82" s="247">
        <v>4.1523999999999998E-2</v>
      </c>
      <c r="D82" s="248">
        <f t="shared" si="2"/>
        <v>4.1523999999999999E-4</v>
      </c>
      <c r="E82" s="69">
        <f t="shared" ca="1" si="3"/>
        <v>1.6674159581703159E-2</v>
      </c>
      <c r="F82" s="249" t="s">
        <v>37</v>
      </c>
      <c r="G82" s="220"/>
      <c r="H82" s="220"/>
      <c r="I82" s="220"/>
      <c r="J82" s="250" t="str" cm="1">
        <f t="array" aca="1" ref="J82" ca="1">IFERROR(INDEX(_xlfn.ANCHORARRAY($S$12),ROW()-12+1),"")</f>
        <v>PAYX</v>
      </c>
      <c r="K82" s="70">
        <f ca="1">IF(Tabla16[[#This Row],[Ticker]]="",0,SUMIF(Tablaholdings[Ticker],Tabla16[[#This Row],[Ticker]],Tablaholdings[Peso Real en Portafolio])/100)</f>
        <v>2.397572790387343E-3</v>
      </c>
      <c r="L82" s="220"/>
      <c r="M82" s="220"/>
      <c r="N82" s="220"/>
      <c r="O82" s="220"/>
      <c r="P82" s="220"/>
      <c r="Q82" s="220"/>
      <c r="S82" s="227" t="str">
        <f ca="1"/>
        <v>PAYX</v>
      </c>
      <c r="AB82" s="14" t="s">
        <v>396</v>
      </c>
    </row>
    <row r="83" spans="1:28" ht="30" customHeight="1" x14ac:dyDescent="0.55000000000000004">
      <c r="A83" s="251" t="s">
        <v>397</v>
      </c>
      <c r="B83" s="252" t="s">
        <v>398</v>
      </c>
      <c r="C83" s="140">
        <v>4.5363083598999996</v>
      </c>
      <c r="D83" s="248">
        <f t="shared" si="2"/>
        <v>4.5363083598999994E-2</v>
      </c>
      <c r="E83" s="69">
        <f t="shared" ca="1" si="3"/>
        <v>1.3532206750508757</v>
      </c>
      <c r="F83" s="249" t="s">
        <v>39</v>
      </c>
      <c r="G83" s="220"/>
      <c r="H83" s="220"/>
      <c r="I83" s="220"/>
      <c r="J83" s="250" t="str" cm="1">
        <f t="array" aca="1" ref="J83" ca="1">IFERROR(INDEX(_xlfn.ANCHORARRAY($S$12),ROW()-12+1),"")</f>
        <v>HSY</v>
      </c>
      <c r="K83" s="70">
        <f ca="1">IF(Tabla16[[#This Row],[Ticker]]="",0,SUMIF(Tablaholdings[Ticker],Tabla16[[#This Row],[Ticker]],Tablaholdings[Peso Real en Portafolio])/100)</f>
        <v>2.3581911884895295E-3</v>
      </c>
      <c r="L83" s="220"/>
      <c r="M83" s="220"/>
      <c r="N83" s="220"/>
      <c r="O83" s="220"/>
      <c r="P83" s="220"/>
      <c r="Q83" s="220"/>
      <c r="S83" s="227" t="str">
        <f ca="1"/>
        <v>HSY</v>
      </c>
      <c r="AB83" s="14" t="s">
        <v>399</v>
      </c>
    </row>
    <row r="84" spans="1:28" ht="30" customHeight="1" x14ac:dyDescent="0.55000000000000004">
      <c r="A84" s="245" t="s">
        <v>397</v>
      </c>
      <c r="B84" s="246" t="s">
        <v>398</v>
      </c>
      <c r="C84" s="247">
        <v>3.094843</v>
      </c>
      <c r="D84" s="248">
        <f t="shared" si="2"/>
        <v>3.0948429999999999E-2</v>
      </c>
      <c r="E84" s="69">
        <f t="shared" ca="1" si="3"/>
        <v>1.2427489177901203</v>
      </c>
      <c r="F84" s="249" t="s">
        <v>37</v>
      </c>
      <c r="G84" s="220"/>
      <c r="H84" s="220"/>
      <c r="I84" s="220"/>
      <c r="J84" s="250" t="str" cm="1">
        <f t="array" aca="1" ref="J84" ca="1">IFERROR(INDEX(_xlfn.ANCHORARRAY($S$12),ROW()-12+1),"")</f>
        <v>LRCX</v>
      </c>
      <c r="K84" s="70">
        <f ca="1">IF(Tabla16[[#This Row],[Ticker]]="",0,SUMIF(Tablaholdings[Ticker],Tabla16[[#This Row],[Ticker]],Tablaholdings[Peso Real en Portafolio])/100)</f>
        <v>2.3196252042496459E-3</v>
      </c>
      <c r="L84" s="220"/>
      <c r="M84" s="220"/>
      <c r="N84" s="220"/>
      <c r="O84" s="220"/>
      <c r="P84" s="220"/>
      <c r="Q84" s="220"/>
      <c r="S84" s="227" t="str">
        <f ca="1"/>
        <v>LRCX</v>
      </c>
      <c r="AB84" s="14" t="s">
        <v>400</v>
      </c>
    </row>
    <row r="85" spans="1:28" ht="30" customHeight="1" x14ac:dyDescent="0.55000000000000004">
      <c r="A85" s="245" t="s">
        <v>401</v>
      </c>
      <c r="B85" s="246" t="s">
        <v>402</v>
      </c>
      <c r="C85" s="247">
        <v>1.9078999999999999E-2</v>
      </c>
      <c r="D85" s="248">
        <f t="shared" si="2"/>
        <v>1.9078999999999998E-4</v>
      </c>
      <c r="E85" s="69">
        <f t="shared" ca="1" si="3"/>
        <v>7.6612631408177097E-3</v>
      </c>
      <c r="F85" s="249" t="s">
        <v>37</v>
      </c>
      <c r="G85" s="220"/>
      <c r="H85" s="220"/>
      <c r="I85" s="220"/>
      <c r="J85" s="250" t="str" cm="1">
        <f t="array" aca="1" ref="J85" ca="1">IFERROR(INDEX(_xlfn.ANCHORARRAY($S$12),ROW()-12+1),"")</f>
        <v>ABBV</v>
      </c>
      <c r="K85" s="70">
        <f ca="1">IF(Tabla16[[#This Row],[Ticker]]="",0,SUMIF(Tablaholdings[Ticker],Tabla16[[#This Row],[Ticker]],Tablaholdings[Peso Real en Portafolio])/100)</f>
        <v>2.3174086220106756E-3</v>
      </c>
      <c r="L85" s="220"/>
      <c r="M85" s="220"/>
      <c r="N85" s="220"/>
      <c r="O85" s="220"/>
      <c r="P85" s="220"/>
      <c r="Q85" s="220"/>
      <c r="S85" s="227" t="str">
        <f ca="1"/>
        <v>ABBV</v>
      </c>
      <c r="AB85" s="14" t="s">
        <v>403</v>
      </c>
    </row>
    <row r="86" spans="1:28" ht="30" customHeight="1" x14ac:dyDescent="0.55000000000000004">
      <c r="A86" s="245" t="s">
        <v>404</v>
      </c>
      <c r="B86" s="246" t="s">
        <v>405</v>
      </c>
      <c r="C86" s="247">
        <v>3.8906999999999997E-2</v>
      </c>
      <c r="D86" s="248">
        <f t="shared" si="2"/>
        <v>3.8906999999999999E-4</v>
      </c>
      <c r="E86" s="69">
        <f t="shared" ca="1" si="3"/>
        <v>1.5623290791959465E-2</v>
      </c>
      <c r="F86" s="249" t="s">
        <v>37</v>
      </c>
      <c r="G86" s="220"/>
      <c r="H86" s="220"/>
      <c r="I86" s="220"/>
      <c r="J86" s="250" t="str" cm="1">
        <f t="array" aca="1" ref="J86" ca="1">IFERROR(INDEX(_xlfn.ANCHORARRAY($S$12),ROW()-12+1),"")</f>
        <v>ARES</v>
      </c>
      <c r="K86" s="70">
        <f ca="1">IF(Tabla16[[#This Row],[Ticker]]="",0,SUMIF(Tablaholdings[Ticker],Tabla16[[#This Row],[Ticker]],Tablaholdings[Peso Real en Portafolio])/100)</f>
        <v>2.2029852315317015E-3</v>
      </c>
      <c r="L86" s="220"/>
      <c r="M86" s="220"/>
      <c r="N86" s="220"/>
      <c r="O86" s="220"/>
      <c r="P86" s="220"/>
      <c r="Q86" s="220"/>
      <c r="S86" s="227" t="str">
        <f ca="1"/>
        <v>ARES</v>
      </c>
      <c r="AB86" s="14" t="s">
        <v>406</v>
      </c>
    </row>
    <row r="87" spans="1:28" ht="30" customHeight="1" x14ac:dyDescent="0.55000000000000004">
      <c r="A87" s="251" t="s">
        <v>407</v>
      </c>
      <c r="B87" s="252" t="s">
        <v>408</v>
      </c>
      <c r="C87" s="140">
        <v>0.10729386019999999</v>
      </c>
      <c r="D87" s="248">
        <f t="shared" si="2"/>
        <v>1.072938602E-3</v>
      </c>
      <c r="E87" s="69">
        <f t="shared" ca="1" si="3"/>
        <v>3.2006702016143133E-2</v>
      </c>
      <c r="F87" s="249" t="s">
        <v>39</v>
      </c>
      <c r="G87" s="220"/>
      <c r="H87" s="220"/>
      <c r="I87" s="220"/>
      <c r="J87" s="250" t="str" cm="1">
        <f t="array" aca="1" ref="J87" ca="1">IFERROR(INDEX(_xlfn.ANCHORARRAY($S$12),ROW()-12+1),"")</f>
        <v>AMAT</v>
      </c>
      <c r="K87" s="70">
        <f ca="1">IF(Tabla16[[#This Row],[Ticker]]="",0,SUMIF(Tablaholdings[Ticker],Tabla16[[#This Row],[Ticker]],Tablaholdings[Peso Real en Portafolio])/100)</f>
        <v>2.1795227507756011E-3</v>
      </c>
      <c r="L87" s="220"/>
      <c r="M87" s="220"/>
      <c r="N87" s="220"/>
      <c r="O87" s="220"/>
      <c r="P87" s="220"/>
      <c r="Q87" s="220"/>
      <c r="S87" s="227" t="str">
        <f ca="1"/>
        <v>AMAT</v>
      </c>
      <c r="AB87" s="14" t="s">
        <v>409</v>
      </c>
    </row>
    <row r="88" spans="1:28" ht="30" customHeight="1" x14ac:dyDescent="0.55000000000000004">
      <c r="A88" s="245" t="s">
        <v>407</v>
      </c>
      <c r="B88" s="246" t="s">
        <v>408</v>
      </c>
      <c r="C88" s="247">
        <v>4.6579000000000002E-2</v>
      </c>
      <c r="D88" s="248">
        <f t="shared" si="2"/>
        <v>4.6579E-4</v>
      </c>
      <c r="E88" s="69">
        <f t="shared" ca="1" si="3"/>
        <v>1.8704018860325394E-2</v>
      </c>
      <c r="F88" s="249" t="s">
        <v>37</v>
      </c>
      <c r="G88" s="220"/>
      <c r="H88" s="220"/>
      <c r="I88" s="220"/>
      <c r="J88" s="250" t="str" cm="1">
        <f t="array" aca="1" ref="J88" ca="1">IFERROR(INDEX(_xlfn.ANCHORARRAY($S$12),ROW()-12+1),"")</f>
        <v>APP</v>
      </c>
      <c r="K88" s="70">
        <f ca="1">IF(Tabla16[[#This Row],[Ticker]]="",0,SUMIF(Tablaholdings[Ticker],Tabla16[[#This Row],[Ticker]],Tablaholdings[Peso Real en Portafolio])/100)</f>
        <v>2.1581208646685906E-3</v>
      </c>
      <c r="L88" s="220"/>
      <c r="M88" s="220"/>
      <c r="N88" s="220"/>
      <c r="O88" s="220"/>
      <c r="P88" s="220"/>
      <c r="Q88" s="220"/>
      <c r="S88" s="227" t="str">
        <f ca="1"/>
        <v>APP</v>
      </c>
      <c r="AB88" s="14" t="s">
        <v>410</v>
      </c>
    </row>
    <row r="89" spans="1:28" ht="30" customHeight="1" x14ac:dyDescent="0.55000000000000004">
      <c r="A89" s="245" t="s">
        <v>411</v>
      </c>
      <c r="B89" s="246" t="s">
        <v>412</v>
      </c>
      <c r="C89" s="247">
        <v>0.259714</v>
      </c>
      <c r="D89" s="248">
        <f t="shared" si="2"/>
        <v>2.59714E-3</v>
      </c>
      <c r="E89" s="69">
        <f t="shared" ca="1" si="3"/>
        <v>0.10428939123404428</v>
      </c>
      <c r="F89" s="249" t="s">
        <v>37</v>
      </c>
      <c r="G89" s="220"/>
      <c r="H89" s="220"/>
      <c r="I89" s="220"/>
      <c r="J89" s="250" t="str" cm="1">
        <f t="array" aca="1" ref="J89" ca="1">IFERROR(INDEX(_xlfn.ANCHORARRAY($S$12),ROW()-12+1),"")</f>
        <v>CINF</v>
      </c>
      <c r="K89" s="70">
        <f ca="1">IF(Tabla16[[#This Row],[Ticker]]="",0,SUMIF(Tablaholdings[Ticker],Tabla16[[#This Row],[Ticker]],Tablaholdings[Peso Real en Portafolio])/100)</f>
        <v>2.1507587942178295E-3</v>
      </c>
      <c r="L89" s="220"/>
      <c r="M89" s="220"/>
      <c r="N89" s="220"/>
      <c r="O89" s="220"/>
      <c r="P89" s="220"/>
      <c r="Q89" s="220"/>
      <c r="S89" s="227" t="str">
        <f ca="1"/>
        <v>CINF</v>
      </c>
      <c r="AB89" s="14" t="s">
        <v>413</v>
      </c>
    </row>
    <row r="90" spans="1:28" ht="30" customHeight="1" x14ac:dyDescent="0.55000000000000004">
      <c r="A90" s="251" t="s">
        <v>414</v>
      </c>
      <c r="B90" s="252" t="s">
        <v>415</v>
      </c>
      <c r="C90" s="140">
        <v>0.19759906290000001</v>
      </c>
      <c r="D90" s="248">
        <f t="shared" si="2"/>
        <v>1.975990629E-3</v>
      </c>
      <c r="E90" s="69">
        <f t="shared" ca="1" si="3"/>
        <v>5.8945538105538535E-2</v>
      </c>
      <c r="F90" s="249" t="s">
        <v>39</v>
      </c>
      <c r="G90" s="220"/>
      <c r="H90" s="220"/>
      <c r="I90" s="220"/>
      <c r="J90" s="250" t="str" cm="1">
        <f t="array" aca="1" ref="J90" ca="1">IFERROR(INDEX(_xlfn.ANCHORARRAY($S$12),ROW()-12+1),"")</f>
        <v>BKNG</v>
      </c>
      <c r="K90" s="70">
        <f ca="1">IF(Tabla16[[#This Row],[Ticker]]="",0,SUMIF(Tablaholdings[Ticker],Tabla16[[#This Row],[Ticker]],Tablaholdings[Peso Real en Portafolio])/100)</f>
        <v>2.101413860086498E-3</v>
      </c>
      <c r="L90" s="220"/>
      <c r="M90" s="220"/>
      <c r="N90" s="220"/>
      <c r="O90" s="220"/>
      <c r="P90" s="220"/>
      <c r="Q90" s="220"/>
      <c r="S90" s="227" t="str">
        <f ca="1"/>
        <v>BKNG</v>
      </c>
      <c r="AB90" s="14" t="s">
        <v>416</v>
      </c>
    </row>
    <row r="91" spans="1:28" ht="30" customHeight="1" x14ac:dyDescent="0.55000000000000004">
      <c r="A91" s="245" t="s">
        <v>414</v>
      </c>
      <c r="B91" s="246" t="s">
        <v>415</v>
      </c>
      <c r="C91" s="247">
        <v>8.7231000000000003E-2</v>
      </c>
      <c r="D91" s="248">
        <f t="shared" si="2"/>
        <v>8.7231000000000006E-4</v>
      </c>
      <c r="E91" s="69">
        <f t="shared" ca="1" si="3"/>
        <v>3.5028022697031799E-2</v>
      </c>
      <c r="F91" s="249" t="s">
        <v>37</v>
      </c>
      <c r="G91" s="220"/>
      <c r="H91" s="220"/>
      <c r="I91" s="220"/>
      <c r="J91" s="250" t="str" cm="1">
        <f t="array" aca="1" ref="J91" ca="1">IFERROR(INDEX(_xlfn.ANCHORARRAY($S$12),ROW()-12+1),"")</f>
        <v>SPGI</v>
      </c>
      <c r="K91" s="70">
        <f ca="1">IF(Tabla16[[#This Row],[Ticker]]="",0,SUMIF(Tablaholdings[Ticker],Tabla16[[#This Row],[Ticker]],Tablaholdings[Peso Real en Portafolio])/100)</f>
        <v>2.0815359028794941E-3</v>
      </c>
      <c r="L91" s="220"/>
      <c r="M91" s="220"/>
      <c r="N91" s="220"/>
      <c r="O91" s="220"/>
      <c r="P91" s="220"/>
      <c r="Q91" s="220"/>
      <c r="S91" s="227" t="str">
        <f ca="1"/>
        <v>SPGI</v>
      </c>
      <c r="AB91" s="14" t="s">
        <v>417</v>
      </c>
    </row>
    <row r="92" spans="1:28" ht="30" customHeight="1" x14ac:dyDescent="0.55000000000000004">
      <c r="A92" s="245" t="s">
        <v>418</v>
      </c>
      <c r="B92" s="246" t="s">
        <v>419</v>
      </c>
      <c r="C92" s="247">
        <v>0.29581800000000003</v>
      </c>
      <c r="D92" s="248">
        <f t="shared" si="2"/>
        <v>2.9581800000000004E-3</v>
      </c>
      <c r="E92" s="69">
        <f t="shared" ca="1" si="3"/>
        <v>0.11878712405212084</v>
      </c>
      <c r="F92" s="249" t="s">
        <v>37</v>
      </c>
      <c r="G92" s="220"/>
      <c r="H92" s="220"/>
      <c r="I92" s="220"/>
      <c r="J92" s="250" t="str" cm="1">
        <f t="array" aca="1" ref="J92" ca="1">IFERROR(INDEX(_xlfn.ANCHORARRAY($S$12),ROW()-12+1),"")</f>
        <v>BAC</v>
      </c>
      <c r="K92" s="70">
        <f ca="1">IF(Tabla16[[#This Row],[Ticker]]="",0,SUMIF(Tablaholdings[Ticker],Tabla16[[#This Row],[Ticker]],Tablaholdings[Peso Real en Portafolio])/100)</f>
        <v>2.0797725344744045E-3</v>
      </c>
      <c r="L92" s="220"/>
      <c r="M92" s="220"/>
      <c r="N92" s="220"/>
      <c r="O92" s="220"/>
      <c r="P92" s="220"/>
      <c r="Q92" s="220"/>
      <c r="S92" s="227" t="str">
        <f ca="1"/>
        <v>BAC</v>
      </c>
      <c r="AB92" s="14" t="s">
        <v>420</v>
      </c>
    </row>
    <row r="93" spans="1:28" ht="30" customHeight="1" x14ac:dyDescent="0.55000000000000004">
      <c r="A93" s="245" t="s">
        <v>421</v>
      </c>
      <c r="B93" s="246" t="s">
        <v>422</v>
      </c>
      <c r="C93" s="247">
        <v>0.51793</v>
      </c>
      <c r="D93" s="248">
        <f t="shared" si="2"/>
        <v>5.1793000000000004E-3</v>
      </c>
      <c r="E93" s="69">
        <f t="shared" ca="1" si="3"/>
        <v>0.20797725344744047</v>
      </c>
      <c r="F93" s="249" t="s">
        <v>37</v>
      </c>
      <c r="G93" s="220"/>
      <c r="H93" s="220"/>
      <c r="I93" s="220"/>
      <c r="J93" s="250" t="str" cm="1">
        <f t="array" aca="1" ref="J93" ca="1">IFERROR(INDEX(_xlfn.ANCHORARRAY($S$12),ROW()-12+1),"")</f>
        <v>ORCL</v>
      </c>
      <c r="K93" s="70">
        <f ca="1">IF(Tabla16[[#This Row],[Ticker]]="",0,SUMIF(Tablaholdings[Ticker],Tabla16[[#This Row],[Ticker]],Tablaholdings[Peso Real en Portafolio])/100)</f>
        <v>2.0237717085601304E-3</v>
      </c>
      <c r="L93" s="220"/>
      <c r="M93" s="220"/>
      <c r="N93" s="220"/>
      <c r="O93" s="220"/>
      <c r="P93" s="220"/>
      <c r="Q93" s="220"/>
      <c r="S93" s="227" t="str">
        <f ca="1"/>
        <v>ORCL</v>
      </c>
      <c r="AB93" s="14" t="s">
        <v>423</v>
      </c>
    </row>
    <row r="94" spans="1:28" ht="30" customHeight="1" x14ac:dyDescent="0.55000000000000004">
      <c r="A94" s="251" t="s">
        <v>424</v>
      </c>
      <c r="B94" s="252" t="s">
        <v>425</v>
      </c>
      <c r="C94" s="140">
        <v>0.2273661246</v>
      </c>
      <c r="D94" s="248">
        <f t="shared" si="2"/>
        <v>2.2736612460000001E-3</v>
      </c>
      <c r="E94" s="69">
        <f t="shared" ca="1" si="3"/>
        <v>6.8240862120794554E-2</v>
      </c>
      <c r="F94" s="249" t="s">
        <v>38</v>
      </c>
      <c r="G94" s="220"/>
      <c r="H94" s="220"/>
      <c r="I94" s="220"/>
      <c r="J94" s="250" t="str" cm="1">
        <f t="array" aca="1" ref="J94" ca="1">IFERROR(INDEX(_xlfn.ANCHORARRAY($S$12),ROW()-12+1),"")</f>
        <v>PWR</v>
      </c>
      <c r="K94" s="70">
        <f ca="1">IF(Tabla16[[#This Row],[Ticker]]="",0,SUMIF(Tablaholdings[Ticker],Tabla16[[#This Row],[Ticker]],Tablaholdings[Peso Real en Portafolio])/100)</f>
        <v>1.953638714150498E-3</v>
      </c>
      <c r="L94" s="220"/>
      <c r="M94" s="220"/>
      <c r="N94" s="220"/>
      <c r="O94" s="220"/>
      <c r="P94" s="220"/>
      <c r="Q94" s="220"/>
      <c r="S94" s="227" t="str">
        <f ca="1"/>
        <v>PWR</v>
      </c>
      <c r="AB94" s="14" t="s">
        <v>426</v>
      </c>
    </row>
    <row r="95" spans="1:28" ht="30" customHeight="1" x14ac:dyDescent="0.55000000000000004">
      <c r="A95" s="245" t="s">
        <v>427</v>
      </c>
      <c r="B95" s="246" t="s">
        <v>428</v>
      </c>
      <c r="C95" s="247">
        <v>2.3619000000000001E-2</v>
      </c>
      <c r="D95" s="248">
        <f t="shared" si="2"/>
        <v>2.3619E-4</v>
      </c>
      <c r="E95" s="69">
        <f t="shared" ca="1" si="3"/>
        <v>9.4843217214200699E-3</v>
      </c>
      <c r="F95" s="249" t="s">
        <v>37</v>
      </c>
      <c r="G95" s="220"/>
      <c r="H95" s="220"/>
      <c r="I95" s="220"/>
      <c r="J95" s="250" t="str" cm="1">
        <f t="array" aca="1" ref="J95" ca="1">IFERROR(INDEX(_xlfn.ANCHORARRAY($S$12),ROW()-12+1),"")</f>
        <v>RF</v>
      </c>
      <c r="K95" s="70">
        <f ca="1">IF(Tabla16[[#This Row],[Ticker]]="",0,SUMIF(Tablaholdings[Ticker],Tabla16[[#This Row],[Ticker]],Tablaholdings[Peso Real en Portafolio])/100)</f>
        <v>1.9403943883367133E-3</v>
      </c>
      <c r="L95" s="220"/>
      <c r="M95" s="220"/>
      <c r="N95" s="220"/>
      <c r="O95" s="220"/>
      <c r="P95" s="220"/>
      <c r="Q95" s="220"/>
      <c r="S95" s="227" t="str">
        <f ca="1"/>
        <v>RF</v>
      </c>
      <c r="AB95" s="14" t="s">
        <v>429</v>
      </c>
    </row>
    <row r="96" spans="1:28" ht="30" customHeight="1" x14ac:dyDescent="0.55000000000000004">
      <c r="A96" s="251" t="s">
        <v>430</v>
      </c>
      <c r="B96" s="252" t="s">
        <v>431</v>
      </c>
      <c r="C96" s="140">
        <v>5.5684504099999997E-2</v>
      </c>
      <c r="D96" s="248">
        <f t="shared" si="2"/>
        <v>5.5684504099999998E-4</v>
      </c>
      <c r="E96" s="69">
        <f t="shared" ca="1" si="3"/>
        <v>1.6712949535635964E-2</v>
      </c>
      <c r="F96" s="249" t="s">
        <v>38</v>
      </c>
      <c r="G96" s="220"/>
      <c r="H96" s="220"/>
      <c r="I96" s="220"/>
      <c r="J96" s="250" t="str" cm="1">
        <f t="array" aca="1" ref="J96" ca="1">IFERROR(INDEX(_xlfn.ANCHORARRAY($S$12),ROW()-12+1),"")</f>
        <v>PGR</v>
      </c>
      <c r="K96" s="70">
        <f ca="1">IF(Tabla16[[#This Row],[Ticker]]="",0,SUMIF(Tablaholdings[Ticker],Tabla16[[#This Row],[Ticker]],Tablaholdings[Peso Real en Portafolio])/100)</f>
        <v>1.9359233292806676E-3</v>
      </c>
      <c r="L96" s="220"/>
      <c r="M96" s="220"/>
      <c r="N96" s="220"/>
      <c r="O96" s="220"/>
      <c r="P96" s="220"/>
      <c r="Q96" s="220"/>
      <c r="S96" s="227" t="str">
        <f ca="1"/>
        <v>PGR</v>
      </c>
      <c r="AB96" s="14" t="s">
        <v>432</v>
      </c>
    </row>
    <row r="97" spans="1:28" ht="30" customHeight="1" x14ac:dyDescent="0.55000000000000004">
      <c r="A97" s="245" t="s">
        <v>433</v>
      </c>
      <c r="B97" s="246" t="s">
        <v>434</v>
      </c>
      <c r="C97" s="247">
        <v>1.3951E-2</v>
      </c>
      <c r="D97" s="248">
        <f t="shared" si="2"/>
        <v>1.3951E-4</v>
      </c>
      <c r="E97" s="69">
        <f t="shared" ca="1" si="3"/>
        <v>5.6020903651946051E-3</v>
      </c>
      <c r="F97" s="249" t="s">
        <v>37</v>
      </c>
      <c r="G97" s="220"/>
      <c r="H97" s="220"/>
      <c r="I97" s="220"/>
      <c r="J97" s="250" t="str" cm="1">
        <f t="array" aca="1" ref="J97" ca="1">IFERROR(INDEX(_xlfn.ANCHORARRAY($S$12),ROW()-12+1),"")</f>
        <v>VRTX</v>
      </c>
      <c r="K97" s="70">
        <f ca="1">IF(Tabla16[[#This Row],[Ticker]]="",0,SUMIF(Tablaholdings[Ticker],Tabla16[[#This Row],[Ticker]],Tablaholdings[Peso Real en Portafolio])/100)</f>
        <v>1.9316181131807037E-3</v>
      </c>
      <c r="L97" s="220"/>
      <c r="M97" s="220"/>
      <c r="N97" s="220"/>
      <c r="O97" s="220"/>
      <c r="P97" s="220"/>
      <c r="Q97" s="220"/>
      <c r="S97" s="227" t="str">
        <f ca="1"/>
        <v>VRTX</v>
      </c>
      <c r="AB97" s="14" t="s">
        <v>435</v>
      </c>
    </row>
    <row r="98" spans="1:28" ht="30" customHeight="1" x14ac:dyDescent="0.55000000000000004">
      <c r="A98" s="251" t="s">
        <v>436</v>
      </c>
      <c r="B98" s="252" t="s">
        <v>437</v>
      </c>
      <c r="C98" s="140">
        <v>0.28399272549999999</v>
      </c>
      <c r="D98" s="248">
        <f t="shared" si="2"/>
        <v>2.8399272549999998E-3</v>
      </c>
      <c r="E98" s="69">
        <f t="shared" ca="1" si="3"/>
        <v>8.5236569248162114E-2</v>
      </c>
      <c r="F98" s="249" t="s">
        <v>38</v>
      </c>
      <c r="G98" s="220"/>
      <c r="H98" s="220"/>
      <c r="I98" s="220"/>
      <c r="J98" s="250" t="str" cm="1">
        <f t="array" aca="1" ref="J98" ca="1">IFERROR(INDEX(_xlfn.ANCHORARRAY($S$12),ROW()-12+1),"")</f>
        <v>PH</v>
      </c>
      <c r="K98" s="70">
        <f ca="1">IF(Tabla16[[#This Row],[Ticker]]="",0,SUMIF(Tablaholdings[Ticker],Tabla16[[#This Row],[Ticker]],Tablaholdings[Peso Real en Portafolio])/100)</f>
        <v>1.8774699583904897E-3</v>
      </c>
      <c r="L98" s="220"/>
      <c r="M98" s="220"/>
      <c r="N98" s="220"/>
      <c r="O98" s="220"/>
      <c r="P98" s="220"/>
      <c r="Q98" s="220"/>
      <c r="S98" s="227" t="str">
        <f ca="1"/>
        <v>PH</v>
      </c>
      <c r="AB98" s="14" t="s">
        <v>438</v>
      </c>
    </row>
    <row r="99" spans="1:28" ht="30" customHeight="1" x14ac:dyDescent="0.55000000000000004">
      <c r="A99" s="245" t="s">
        <v>436</v>
      </c>
      <c r="B99" s="246" t="s">
        <v>439</v>
      </c>
      <c r="C99" s="247">
        <v>1.6896999999999999E-2</v>
      </c>
      <c r="D99" s="248">
        <f t="shared" si="2"/>
        <v>1.6896999999999998E-4</v>
      </c>
      <c r="E99" s="69">
        <f t="shared" ca="1" si="3"/>
        <v>6.7850706688189549E-3</v>
      </c>
      <c r="F99" s="249" t="s">
        <v>37</v>
      </c>
      <c r="G99" s="220"/>
      <c r="H99" s="220"/>
      <c r="I99" s="220"/>
      <c r="J99" s="250" t="str" cm="1">
        <f t="array" aca="1" ref="J99" ca="1">IFERROR(INDEX(_xlfn.ANCHORARRAY($S$12),ROW()-12+1),"")</f>
        <v>TROW</v>
      </c>
      <c r="K99" s="70">
        <f ca="1">IF(Tabla16[[#This Row],[Ticker]]="",0,SUMIF(Tablaholdings[Ticker],Tabla16[[#This Row],[Ticker]],Tablaholdings[Peso Real en Portafolio])/100)</f>
        <v>1.8692358204570091E-3</v>
      </c>
      <c r="L99" s="220"/>
      <c r="M99" s="220"/>
      <c r="N99" s="220"/>
      <c r="O99" s="220"/>
      <c r="P99" s="220"/>
      <c r="Q99" s="220"/>
      <c r="S99" s="227" t="str">
        <f ca="1"/>
        <v>TROW</v>
      </c>
      <c r="AB99" s="14" t="s">
        <v>440</v>
      </c>
    </row>
    <row r="100" spans="1:28" ht="30" customHeight="1" x14ac:dyDescent="0.55000000000000004">
      <c r="A100" s="245" t="s">
        <v>441</v>
      </c>
      <c r="B100" s="246" t="s">
        <v>442</v>
      </c>
      <c r="C100" s="247">
        <v>6.4310999999999993E-2</v>
      </c>
      <c r="D100" s="248">
        <f t="shared" si="2"/>
        <v>6.4310999999999991E-4</v>
      </c>
      <c r="E100" s="69">
        <f t="shared" ca="1" si="3"/>
        <v>2.5824387748263941E-2</v>
      </c>
      <c r="F100" s="249" t="s">
        <v>37</v>
      </c>
      <c r="G100" s="220"/>
      <c r="H100" s="220"/>
      <c r="I100" s="220"/>
      <c r="J100" s="250" t="str" cm="1">
        <f t="array" aca="1" ref="J100" ca="1">IFERROR(INDEX(_xlfn.ANCHORARRAY($S$12),ROW()-12+1),"")</f>
        <v>DRI</v>
      </c>
      <c r="K100" s="70">
        <f ca="1">IF(Tabla16[[#This Row],[Ticker]]="",0,SUMIF(Tablaholdings[Ticker],Tabla16[[#This Row],[Ticker]],Tablaholdings[Peso Real en Portafolio])/100)</f>
        <v>1.8685798130746998E-3</v>
      </c>
      <c r="L100" s="220"/>
      <c r="M100" s="220"/>
      <c r="N100" s="220"/>
      <c r="O100" s="220"/>
      <c r="P100" s="220"/>
      <c r="Q100" s="220"/>
      <c r="S100" s="227" t="str">
        <f ca="1"/>
        <v>DRI</v>
      </c>
      <c r="AB100" s="14" t="s">
        <v>443</v>
      </c>
    </row>
    <row r="101" spans="1:28" ht="30" customHeight="1" x14ac:dyDescent="0.55000000000000004">
      <c r="A101" s="245" t="s">
        <v>444</v>
      </c>
      <c r="B101" s="246" t="s">
        <v>445</v>
      </c>
      <c r="C101" s="247">
        <v>1.5402000000000001E-2</v>
      </c>
      <c r="D101" s="248">
        <f t="shared" si="2"/>
        <v>1.5402000000000002E-4</v>
      </c>
      <c r="E101" s="69">
        <f t="shared" ca="1" si="3"/>
        <v>6.1847463124311743E-3</v>
      </c>
      <c r="F101" s="249" t="s">
        <v>37</v>
      </c>
      <c r="G101" s="220"/>
      <c r="H101" s="220"/>
      <c r="I101" s="220"/>
      <c r="J101" s="250" t="str" cm="1">
        <f t="array" aca="1" ref="J101" ca="1">IFERROR(INDEX(_xlfn.ANCHORARRAY($S$12),ROW()-12+1),"")</f>
        <v>PM</v>
      </c>
      <c r="K101" s="70">
        <f ca="1">IF(Tabla16[[#This Row],[Ticker]]="",0,SUMIF(Tablaholdings[Ticker],Tabla16[[#This Row],[Ticker]],Tablaholdings[Peso Real en Portafolio])/100)</f>
        <v>1.8397833360829952E-3</v>
      </c>
      <c r="L101" s="220"/>
      <c r="M101" s="220"/>
      <c r="N101" s="220"/>
      <c r="O101" s="220"/>
      <c r="P101" s="220"/>
      <c r="Q101" s="220"/>
      <c r="S101" s="227" t="str">
        <f ca="1"/>
        <v>PM</v>
      </c>
      <c r="AB101" s="14" t="s">
        <v>446</v>
      </c>
    </row>
    <row r="102" spans="1:28" ht="30" customHeight="1" x14ac:dyDescent="0.55000000000000004">
      <c r="A102" s="245" t="s">
        <v>447</v>
      </c>
      <c r="B102" s="246" t="s">
        <v>448</v>
      </c>
      <c r="C102" s="247">
        <v>7.0099999999999997E-3</v>
      </c>
      <c r="D102" s="248">
        <f t="shared" si="2"/>
        <v>7.0099999999999996E-5</v>
      </c>
      <c r="E102" s="69">
        <f t="shared" ca="1" si="3"/>
        <v>2.8148988215908667E-3</v>
      </c>
      <c r="F102" s="249" t="s">
        <v>37</v>
      </c>
      <c r="G102" s="220"/>
      <c r="H102" s="220"/>
      <c r="I102" s="220"/>
      <c r="J102" s="250" t="str" cm="1">
        <f t="array" aca="1" ref="J102" ca="1">IFERROR(INDEX(_xlfn.ANCHORARRAY($S$12),ROW()-12+1),"")</f>
        <v>GS</v>
      </c>
      <c r="K102" s="70">
        <f ca="1">IF(Tabla16[[#This Row],[Ticker]]="",0,SUMIF(Tablaholdings[Ticker],Tabla16[[#This Row],[Ticker]],Tablaholdings[Peso Real en Portafolio])/100)</f>
        <v>1.8047195750129075E-3</v>
      </c>
      <c r="L102" s="220"/>
      <c r="M102" s="220"/>
      <c r="N102" s="220"/>
      <c r="O102" s="220"/>
      <c r="P102" s="220"/>
      <c r="Q102" s="220"/>
      <c r="S102" s="227" t="str">
        <f ca="1"/>
        <v>GS</v>
      </c>
      <c r="AB102" s="14" t="s">
        <v>449</v>
      </c>
    </row>
    <row r="103" spans="1:28" ht="30" customHeight="1" x14ac:dyDescent="0.55000000000000004">
      <c r="A103" s="245" t="s">
        <v>450</v>
      </c>
      <c r="B103" s="246" t="s">
        <v>451</v>
      </c>
      <c r="C103" s="247">
        <v>2.6616999999999998E-2</v>
      </c>
      <c r="D103" s="248">
        <f t="shared" si="2"/>
        <v>2.6616999999999998E-4</v>
      </c>
      <c r="E103" s="69">
        <f t="shared" ca="1" si="3"/>
        <v>1.0688182872223125E-2</v>
      </c>
      <c r="F103" s="249" t="s">
        <v>37</v>
      </c>
      <c r="G103" s="220"/>
      <c r="H103" s="220"/>
      <c r="I103" s="220"/>
      <c r="J103" s="250" t="str" cm="1">
        <f t="array" aca="1" ref="J103" ca="1">IFERROR(INDEX(_xlfn.ANCHORARRAY($S$12),ROW()-12+1),"")</f>
        <v>EQIX</v>
      </c>
      <c r="K103" s="70">
        <f ca="1">IF(Tabla16[[#This Row],[Ticker]]="",0,SUMIF(Tablaholdings[Ticker],Tabla16[[#This Row],[Ticker]],Tablaholdings[Peso Real en Portafolio])/100)</f>
        <v>1.7889174584071071E-3</v>
      </c>
      <c r="L103" s="220"/>
      <c r="M103" s="220"/>
      <c r="N103" s="220"/>
      <c r="O103" s="220"/>
      <c r="P103" s="220"/>
      <c r="Q103" s="220"/>
      <c r="S103" s="227" t="str">
        <f ca="1"/>
        <v>EQIX</v>
      </c>
      <c r="AB103" s="14" t="s">
        <v>452</v>
      </c>
    </row>
    <row r="104" spans="1:28" ht="30" customHeight="1" x14ac:dyDescent="0.55000000000000004">
      <c r="A104" s="245" t="s">
        <v>453</v>
      </c>
      <c r="B104" s="246" t="s">
        <v>454</v>
      </c>
      <c r="C104" s="247">
        <v>4.6932000000000001E-2</v>
      </c>
      <c r="D104" s="248">
        <f t="shared" si="2"/>
        <v>4.6932000000000001E-4</v>
      </c>
      <c r="E104" s="69">
        <f t="shared" ca="1" si="3"/>
        <v>1.8845767688288526E-2</v>
      </c>
      <c r="F104" s="249" t="s">
        <v>37</v>
      </c>
      <c r="G104" s="220"/>
      <c r="H104" s="220"/>
      <c r="I104" s="220"/>
      <c r="J104" s="250" t="str" cm="1">
        <f t="array" aca="1" ref="J104" ca="1">IFERROR(INDEX(_xlfn.ANCHORARRAY($S$12),ROW()-12+1),"")</f>
        <v>TT</v>
      </c>
      <c r="K104" s="70">
        <f ca="1">IF(Tabla16[[#This Row],[Ticker]]="",0,SUMIF(Tablaholdings[Ticker],Tabla16[[#This Row],[Ticker]],Tablaholdings[Peso Real en Portafolio])/100)</f>
        <v>1.7834527515877365E-3</v>
      </c>
      <c r="L104" s="220"/>
      <c r="M104" s="220"/>
      <c r="N104" s="220"/>
      <c r="O104" s="220"/>
      <c r="P104" s="220"/>
      <c r="Q104" s="220"/>
      <c r="S104" s="227" t="str">
        <f ca="1"/>
        <v>TT</v>
      </c>
      <c r="AB104" s="14" t="s">
        <v>455</v>
      </c>
    </row>
    <row r="105" spans="1:28" ht="30" customHeight="1" x14ac:dyDescent="0.55000000000000004">
      <c r="A105" s="245" t="s">
        <v>456</v>
      </c>
      <c r="B105" s="246" t="s">
        <v>457</v>
      </c>
      <c r="C105" s="247">
        <v>0.14535000000000001</v>
      </c>
      <c r="D105" s="248">
        <f t="shared" si="2"/>
        <v>1.4535000000000001E-3</v>
      </c>
      <c r="E105" s="69">
        <f t="shared" ca="1" si="3"/>
        <v>5.836598341201605E-2</v>
      </c>
      <c r="F105" s="249" t="s">
        <v>37</v>
      </c>
      <c r="G105" s="220"/>
      <c r="H105" s="220"/>
      <c r="I105" s="220"/>
      <c r="J105" s="250" t="str" cm="1">
        <f t="array" aca="1" ref="J105" ca="1">IFERROR(INDEX(_xlfn.ANCHORARRAY($S$12),ROW()-12+1),"")</f>
        <v>INTU</v>
      </c>
      <c r="K105" s="70">
        <f ca="1">IF(Tabla16[[#This Row],[Ticker]]="",0,SUMIF(Tablaholdings[Ticker],Tabla16[[#This Row],[Ticker]],Tablaholdings[Peso Real en Portafolio])/100)</f>
        <v>1.7613326880732902E-3</v>
      </c>
      <c r="L105" s="220"/>
      <c r="M105" s="220"/>
      <c r="N105" s="220"/>
      <c r="O105" s="220"/>
      <c r="P105" s="220"/>
      <c r="Q105" s="220"/>
      <c r="S105" s="227" t="str">
        <f ca="1"/>
        <v>INTU</v>
      </c>
      <c r="AB105" s="14" t="s">
        <v>458</v>
      </c>
    </row>
    <row r="106" spans="1:28" ht="30" customHeight="1" x14ac:dyDescent="0.55000000000000004">
      <c r="A106" s="251" t="s">
        <v>459</v>
      </c>
      <c r="B106" s="252" t="s">
        <v>460</v>
      </c>
      <c r="C106" s="140">
        <v>3.8058533399999997E-2</v>
      </c>
      <c r="D106" s="248">
        <f t="shared" si="2"/>
        <v>3.8058533399999998E-4</v>
      </c>
      <c r="E106" s="69">
        <f t="shared" ca="1" si="3"/>
        <v>1.1422753212855062E-2</v>
      </c>
      <c r="F106" s="249" t="s">
        <v>38</v>
      </c>
      <c r="G106" s="220"/>
      <c r="H106" s="220"/>
      <c r="I106" s="220"/>
      <c r="J106" s="250" t="str" cm="1">
        <f t="array" aca="1" ref="J106" ca="1">IFERROR(INDEX(_xlfn.ANCHORARRAY($S$12),ROW()-12+1),"")</f>
        <v>DHR</v>
      </c>
      <c r="K106" s="70">
        <f ca="1">IF(Tabla16[[#This Row],[Ticker]]="",0,SUMIF(Tablaholdings[Ticker],Tabla16[[#This Row],[Ticker]],Tablaholdings[Peso Real en Portafolio])/100)</f>
        <v>1.7470185881588106E-3</v>
      </c>
      <c r="L106" s="220"/>
      <c r="M106" s="220"/>
      <c r="N106" s="220"/>
      <c r="O106" s="220"/>
      <c r="P106" s="220"/>
      <c r="Q106" s="220"/>
      <c r="S106" s="227" t="str">
        <f ca="1"/>
        <v>DHR</v>
      </c>
      <c r="AB106" s="14" t="s">
        <v>461</v>
      </c>
    </row>
    <row r="107" spans="1:28" ht="30" customHeight="1" x14ac:dyDescent="0.55000000000000004">
      <c r="A107" s="251" t="s">
        <v>462</v>
      </c>
      <c r="B107" s="252" t="s">
        <v>463</v>
      </c>
      <c r="C107" s="140">
        <v>0.44115793609999998</v>
      </c>
      <c r="D107" s="248">
        <f t="shared" si="2"/>
        <v>4.4115793609999995E-3</v>
      </c>
      <c r="E107" s="69">
        <f t="shared" ca="1" si="3"/>
        <v>0.13160129178397678</v>
      </c>
      <c r="F107" s="249" t="s">
        <v>39</v>
      </c>
      <c r="G107" s="220"/>
      <c r="H107" s="220"/>
      <c r="I107" s="220"/>
      <c r="J107" s="250" t="str" cm="1">
        <f t="array" aca="1" ref="J107" ca="1">IFERROR(INDEX(_xlfn.ANCHORARRAY($S$12),ROW()-12+1),"")</f>
        <v>PFG</v>
      </c>
      <c r="K107" s="70">
        <f ca="1">IF(Tabla16[[#This Row],[Ticker]]="",0,SUMIF(Tablaholdings[Ticker],Tabla16[[#This Row],[Ticker]],Tablaholdings[Peso Real en Portafolio])/100)</f>
        <v>1.6636395488325907E-3</v>
      </c>
      <c r="L107" s="220"/>
      <c r="M107" s="220"/>
      <c r="N107" s="220"/>
      <c r="O107" s="220"/>
      <c r="P107" s="220"/>
      <c r="Q107" s="220"/>
      <c r="S107" s="227" t="str">
        <f ca="1"/>
        <v>PFG</v>
      </c>
      <c r="AB107" s="14" t="s">
        <v>464</v>
      </c>
    </row>
    <row r="108" spans="1:28" ht="30" customHeight="1" x14ac:dyDescent="0.55000000000000004">
      <c r="A108" s="245" t="s">
        <v>462</v>
      </c>
      <c r="B108" s="246" t="s">
        <v>463</v>
      </c>
      <c r="C108" s="247">
        <v>0.19559000000000001</v>
      </c>
      <c r="D108" s="248">
        <f t="shared" si="2"/>
        <v>1.9559E-3</v>
      </c>
      <c r="E108" s="69">
        <f t="shared" ca="1" si="3"/>
        <v>7.8540094224672993E-2</v>
      </c>
      <c r="F108" s="249" t="s">
        <v>37</v>
      </c>
      <c r="G108" s="220"/>
      <c r="H108" s="220"/>
      <c r="I108" s="220"/>
      <c r="J108" s="250" t="str" cm="1">
        <f t="array" aca="1" ref="J108" ca="1">IFERROR(INDEX(_xlfn.ANCHORARRAY($S$12),ROW()-12+1),"")</f>
        <v>SNPS</v>
      </c>
      <c r="K108" s="70">
        <f ca="1">IF(Tabla16[[#This Row],[Ticker]]="",0,SUMIF(Tablaholdings[Ticker],Tabla16[[#This Row],[Ticker]],Tablaholdings[Peso Real en Portafolio])/100)</f>
        <v>1.6422404367821958E-3</v>
      </c>
      <c r="L108" s="220"/>
      <c r="M108" s="220"/>
      <c r="N108" s="220"/>
      <c r="O108" s="220"/>
      <c r="P108" s="220"/>
      <c r="Q108" s="220"/>
      <c r="S108" s="227" t="str">
        <f ca="1"/>
        <v>SNPS</v>
      </c>
      <c r="AB108" s="14" t="s">
        <v>465</v>
      </c>
    </row>
    <row r="109" spans="1:28" ht="30" customHeight="1" x14ac:dyDescent="0.55000000000000004">
      <c r="A109" s="251" t="s">
        <v>466</v>
      </c>
      <c r="B109" s="252" t="s">
        <v>467</v>
      </c>
      <c r="C109" s="140">
        <v>0.22554526050000001</v>
      </c>
      <c r="D109" s="248">
        <f t="shared" si="2"/>
        <v>2.255452605E-3</v>
      </c>
      <c r="E109" s="69">
        <f t="shared" ca="1" si="3"/>
        <v>6.7282134602301119E-2</v>
      </c>
      <c r="F109" s="249" t="s">
        <v>39</v>
      </c>
      <c r="G109" s="220"/>
      <c r="H109" s="220"/>
      <c r="I109" s="220"/>
      <c r="J109" s="250" t="str" cm="1">
        <f t="array" aca="1" ref="J109" ca="1">IFERROR(INDEX(_xlfn.ANCHORARRAY($S$12),ROW()-12+1),"")</f>
        <v>ADBE</v>
      </c>
      <c r="K109" s="70">
        <f ca="1">IF(Tabla16[[#This Row],[Ticker]]="",0,SUMIF(Tablaholdings[Ticker],Tabla16[[#This Row],[Ticker]],Tablaholdings[Peso Real en Portafolio])/100)</f>
        <v>1.6344562556426601E-3</v>
      </c>
      <c r="L109" s="220"/>
      <c r="M109" s="220"/>
      <c r="N109" s="220"/>
      <c r="O109" s="220"/>
      <c r="P109" s="220"/>
      <c r="Q109" s="220"/>
      <c r="S109" s="227" t="str">
        <f ca="1"/>
        <v>ADBE</v>
      </c>
      <c r="AB109" s="14" t="s">
        <v>468</v>
      </c>
    </row>
    <row r="110" spans="1:28" ht="30" customHeight="1" x14ac:dyDescent="0.55000000000000004">
      <c r="A110" s="245" t="s">
        <v>466</v>
      </c>
      <c r="B110" s="246" t="s">
        <v>469</v>
      </c>
      <c r="C110" s="247">
        <v>0.101258</v>
      </c>
      <c r="D110" s="248">
        <f t="shared" si="2"/>
        <v>1.0125799999999999E-3</v>
      </c>
      <c r="E110" s="69">
        <f t="shared" ca="1" si="3"/>
        <v>4.0660631223487592E-2</v>
      </c>
      <c r="F110" s="249" t="s">
        <v>37</v>
      </c>
      <c r="G110" s="220"/>
      <c r="H110" s="220"/>
      <c r="I110" s="220"/>
      <c r="J110" s="250" t="str" cm="1">
        <f t="array" aca="1" ref="J110" ca="1">IFERROR(INDEX(_xlfn.ANCHORARRAY($S$12),ROW()-12+1),"")</f>
        <v>CDNS</v>
      </c>
      <c r="K110" s="70">
        <f ca="1">IF(Tabla16[[#This Row],[Ticker]]="",0,SUMIF(Tablaholdings[Ticker],Tabla16[[#This Row],[Ticker]],Tablaholdings[Peso Real en Portafolio])/100)</f>
        <v>1.6226275038696905E-3</v>
      </c>
      <c r="L110" s="220"/>
      <c r="M110" s="220"/>
      <c r="N110" s="220"/>
      <c r="O110" s="220"/>
      <c r="P110" s="220"/>
      <c r="Q110" s="220"/>
      <c r="S110" s="227" t="str">
        <f ca="1"/>
        <v>CDNS</v>
      </c>
      <c r="AB110" s="14" t="s">
        <v>470</v>
      </c>
    </row>
    <row r="111" spans="1:28" ht="30" customHeight="1" x14ac:dyDescent="0.55000000000000004">
      <c r="A111" s="251" t="s">
        <v>471</v>
      </c>
      <c r="B111" s="252" t="s">
        <v>472</v>
      </c>
      <c r="C111" s="140">
        <v>4.0063979399999998E-2</v>
      </c>
      <c r="D111" s="248">
        <f t="shared" si="2"/>
        <v>4.0063979399999997E-4</v>
      </c>
      <c r="E111" s="69">
        <f t="shared" ca="1" si="3"/>
        <v>1.1951437368796402E-2</v>
      </c>
      <c r="F111" s="249" t="s">
        <v>39</v>
      </c>
      <c r="G111" s="220"/>
      <c r="H111" s="220"/>
      <c r="I111" s="220"/>
      <c r="J111" s="250" t="str" cm="1">
        <f t="array" aca="1" ref="J111" ca="1">IFERROR(INDEX(_xlfn.ANCHORARRAY($S$12),ROW()-12+1),"")</f>
        <v>SNA</v>
      </c>
      <c r="K111" s="70">
        <f ca="1">IF(Tabla16[[#This Row],[Ticker]]="",0,SUMIF(Tablaholdings[Ticker],Tabla16[[#This Row],[Ticker]],Tablaholdings[Peso Real en Portafolio])/100)</f>
        <v>1.5887574475689722E-3</v>
      </c>
      <c r="L111" s="220"/>
      <c r="M111" s="220"/>
      <c r="N111" s="220"/>
      <c r="O111" s="220"/>
      <c r="P111" s="220"/>
      <c r="Q111" s="220"/>
      <c r="S111" s="227" t="str">
        <f ca="1"/>
        <v>SNA</v>
      </c>
      <c r="AB111" s="14" t="s">
        <v>473</v>
      </c>
    </row>
    <row r="112" spans="1:28" ht="30" customHeight="1" x14ac:dyDescent="0.55000000000000004">
      <c r="A112" s="251" t="s">
        <v>474</v>
      </c>
      <c r="B112" s="252" t="s">
        <v>475</v>
      </c>
      <c r="C112" s="140">
        <v>2.8591572499999999E-2</v>
      </c>
      <c r="D112" s="248">
        <f t="shared" si="2"/>
        <v>2.8591572500000001E-4</v>
      </c>
      <c r="E112" s="69">
        <f t="shared" ca="1" si="3"/>
        <v>8.5291175047167572E-3</v>
      </c>
      <c r="F112" s="249" t="s">
        <v>39</v>
      </c>
      <c r="G112" s="220"/>
      <c r="H112" s="220"/>
      <c r="I112" s="220"/>
      <c r="J112" s="250" t="str" cm="1">
        <f t="array" aca="1" ref="J112" ca="1">IFERROR(INDEX(_xlfn.ANCHORARRAY($S$12),ROW()-12+1),"")</f>
        <v>NOW</v>
      </c>
      <c r="K112" s="70">
        <f ca="1">IF(Tabla16[[#This Row],[Ticker]]="",0,SUMIF(Tablaholdings[Ticker],Tabla16[[#This Row],[Ticker]],Tablaholdings[Peso Real en Portafolio])/100)</f>
        <v>1.5716147745355089E-3</v>
      </c>
      <c r="L112" s="220"/>
      <c r="M112" s="220"/>
      <c r="N112" s="220"/>
      <c r="O112" s="220"/>
      <c r="P112" s="220"/>
      <c r="Q112" s="220"/>
      <c r="S112" s="227" t="str">
        <f ca="1"/>
        <v>NOW</v>
      </c>
      <c r="AB112" s="14" t="s">
        <v>476</v>
      </c>
    </row>
    <row r="113" spans="1:28" ht="30" customHeight="1" x14ac:dyDescent="0.55000000000000004">
      <c r="A113" s="245" t="s">
        <v>474</v>
      </c>
      <c r="B113" s="246" t="s">
        <v>475</v>
      </c>
      <c r="C113" s="247">
        <v>1.2668E-2</v>
      </c>
      <c r="D113" s="248">
        <f t="shared" si="2"/>
        <v>1.2668E-4</v>
      </c>
      <c r="E113" s="69">
        <f t="shared" ca="1" si="3"/>
        <v>5.0868956165353932E-3</v>
      </c>
      <c r="F113" s="249" t="s">
        <v>37</v>
      </c>
      <c r="G113" s="220"/>
      <c r="H113" s="220"/>
      <c r="I113" s="220"/>
      <c r="J113" s="250" t="str" cm="1">
        <f t="array" aca="1" ref="J113" ca="1">IFERROR(INDEX(_xlfn.ANCHORARRAY($S$12),ROW()-12+1),"")</f>
        <v>MCK</v>
      </c>
      <c r="K113" s="70">
        <f ca="1">IF(Tabla16[[#This Row],[Ticker]]="",0,SUMIF(Tablaholdings[Ticker],Tabla16[[#This Row],[Ticker]],Tablaholdings[Peso Real en Portafolio])/100)</f>
        <v>1.5330952755860162E-3</v>
      </c>
      <c r="L113" s="220"/>
      <c r="M113" s="220"/>
      <c r="N113" s="220"/>
      <c r="O113" s="220"/>
      <c r="P113" s="220"/>
      <c r="Q113" s="220"/>
      <c r="S113" s="227" t="str">
        <f ca="1"/>
        <v>MCK</v>
      </c>
      <c r="AB113" s="14" t="s">
        <v>477</v>
      </c>
    </row>
    <row r="114" spans="1:28" ht="30" customHeight="1" x14ac:dyDescent="0.55000000000000004">
      <c r="A114" s="251" t="s">
        <v>478</v>
      </c>
      <c r="B114" s="252" t="s">
        <v>479</v>
      </c>
      <c r="C114" s="140">
        <v>0.56010838370000005</v>
      </c>
      <c r="D114" s="248">
        <f t="shared" si="2"/>
        <v>5.6010838370000003E-3</v>
      </c>
      <c r="E114" s="69">
        <f t="shared" ca="1" si="3"/>
        <v>0.16708525632699217</v>
      </c>
      <c r="F114" s="249" t="s">
        <v>39</v>
      </c>
      <c r="G114" s="220"/>
      <c r="H114" s="220"/>
      <c r="I114" s="220"/>
      <c r="J114" s="250" t="str" cm="1">
        <f t="array" aca="1" ref="J114" ca="1">IFERROR(INDEX(_xlfn.ANCHORARRAY($S$12),ROW()-12+1),"")</f>
        <v>TMUS</v>
      </c>
      <c r="K114" s="70">
        <f ca="1">IF(Tabla16[[#This Row],[Ticker]]="",0,SUMIF(Tablaholdings[Ticker],Tabla16[[#This Row],[Ticker]],Tablaholdings[Peso Real en Portafolio])/100)</f>
        <v>1.5061782439354211E-3</v>
      </c>
      <c r="L114" s="220"/>
      <c r="M114" s="220"/>
      <c r="N114" s="220"/>
      <c r="O114" s="220"/>
      <c r="P114" s="220"/>
      <c r="Q114" s="220"/>
      <c r="S114" s="227" t="str">
        <f ca="1"/>
        <v>TMUS</v>
      </c>
      <c r="AB114" s="14" t="s">
        <v>480</v>
      </c>
    </row>
    <row r="115" spans="1:28" ht="30" customHeight="1" x14ac:dyDescent="0.55000000000000004">
      <c r="A115" s="245" t="s">
        <v>478</v>
      </c>
      <c r="B115" s="246" t="s">
        <v>479</v>
      </c>
      <c r="C115" s="247">
        <v>0.24734500000000001</v>
      </c>
      <c r="D115" s="248">
        <f t="shared" si="2"/>
        <v>2.4734500000000003E-3</v>
      </c>
      <c r="E115" s="69">
        <f t="shared" ca="1" si="3"/>
        <v>9.9322560488786446E-2</v>
      </c>
      <c r="F115" s="249" t="s">
        <v>37</v>
      </c>
      <c r="G115" s="220"/>
      <c r="H115" s="220"/>
      <c r="I115" s="220"/>
      <c r="J115" s="250" t="str" cm="1">
        <f t="array" aca="1" ref="J115" ca="1">IFERROR(INDEX(_xlfn.ANCHORARRAY($S$12),ROW()-12+1),"")</f>
        <v>RTX</v>
      </c>
      <c r="K115" s="70">
        <f ca="1">IF(Tabla16[[#This Row],[Ticker]]="",0,SUMIF(Tablaholdings[Ticker],Tabla16[[#This Row],[Ticker]],Tablaholdings[Peso Real en Portafolio])/100)</f>
        <v>1.5030756597788355E-3</v>
      </c>
      <c r="L115" s="220"/>
      <c r="M115" s="220"/>
      <c r="N115" s="220"/>
      <c r="O115" s="220"/>
      <c r="P115" s="220"/>
      <c r="Q115" s="220"/>
      <c r="S115" s="227" t="str">
        <f ca="1"/>
        <v>RTX</v>
      </c>
      <c r="AB115" s="14" t="s">
        <v>481</v>
      </c>
    </row>
    <row r="116" spans="1:28" ht="30" customHeight="1" x14ac:dyDescent="0.55000000000000004">
      <c r="A116" s="251" t="s">
        <v>482</v>
      </c>
      <c r="B116" s="252" t="s">
        <v>483</v>
      </c>
      <c r="C116" s="140">
        <v>2.9727600375000001</v>
      </c>
      <c r="D116" s="248">
        <f t="shared" si="2"/>
        <v>2.9727600375E-2</v>
      </c>
      <c r="E116" s="69">
        <f t="shared" ca="1" si="3"/>
        <v>0.89223365263466148</v>
      </c>
      <c r="F116" s="249" t="s">
        <v>38</v>
      </c>
      <c r="G116" s="220"/>
      <c r="H116" s="220"/>
      <c r="I116" s="220"/>
      <c r="J116" s="250" t="str" cm="1">
        <f t="array" aca="1" ref="J116" ca="1">IFERROR(INDEX(_xlfn.ANCHORARRAY($S$12),ROW()-12+1),"")</f>
        <v>GIS</v>
      </c>
      <c r="K116" s="70">
        <f ca="1">IF(Tabla16[[#This Row],[Ticker]]="",0,SUMIF(Tablaholdings[Ticker],Tabla16[[#This Row],[Ticker]],Tablaholdings[Peso Real en Portafolio])/100)</f>
        <v>1.4773279397896622E-3</v>
      </c>
      <c r="L116" s="220"/>
      <c r="M116" s="220"/>
      <c r="N116" s="220"/>
      <c r="O116" s="220"/>
      <c r="P116" s="220"/>
      <c r="Q116" s="220"/>
      <c r="S116" s="227" t="str">
        <f ca="1"/>
        <v>GIS</v>
      </c>
      <c r="AB116" s="14" t="s">
        <v>484</v>
      </c>
    </row>
    <row r="117" spans="1:28" ht="30" customHeight="1" x14ac:dyDescent="0.55000000000000004">
      <c r="A117" s="245" t="s">
        <v>482</v>
      </c>
      <c r="B117" s="246" t="s">
        <v>485</v>
      </c>
      <c r="C117" s="247">
        <v>0.179842</v>
      </c>
      <c r="D117" s="248">
        <f t="shared" si="2"/>
        <v>1.79842E-3</v>
      </c>
      <c r="E117" s="69">
        <f t="shared" ca="1" si="3"/>
        <v>7.2216409967552742E-2</v>
      </c>
      <c r="F117" s="249" t="s">
        <v>37</v>
      </c>
      <c r="G117" s="220"/>
      <c r="H117" s="220"/>
      <c r="I117" s="220"/>
      <c r="J117" s="250" t="str" cm="1">
        <f t="array" aca="1" ref="J117" ca="1">IFERROR(INDEX(_xlfn.ANCHORARRAY($S$12),ROW()-12+1),"")</f>
        <v>MS</v>
      </c>
      <c r="K117" s="70">
        <f ca="1">IF(Tabla16[[#This Row],[Ticker]]="",0,SUMIF(Tablaholdings[Ticker],Tabla16[[#This Row],[Ticker]],Tablaholdings[Peso Real en Portafolio])/100)</f>
        <v>1.4665542549537731E-3</v>
      </c>
      <c r="L117" s="220"/>
      <c r="M117" s="220"/>
      <c r="N117" s="220"/>
      <c r="O117" s="220"/>
      <c r="P117" s="220"/>
      <c r="Q117" s="220"/>
      <c r="S117" s="227" t="str">
        <f ca="1"/>
        <v>MS</v>
      </c>
      <c r="AB117" s="14" t="s">
        <v>486</v>
      </c>
    </row>
    <row r="118" spans="1:28" ht="30" customHeight="1" x14ac:dyDescent="0.55000000000000004">
      <c r="A118" s="251" t="s">
        <v>487</v>
      </c>
      <c r="B118" s="252" t="s">
        <v>488</v>
      </c>
      <c r="C118" s="140">
        <v>0.43049425650000001</v>
      </c>
      <c r="D118" s="248">
        <f t="shared" si="2"/>
        <v>4.3049425649999999E-3</v>
      </c>
      <c r="E118" s="69">
        <f t="shared" ca="1" si="3"/>
        <v>0.12920701908999538</v>
      </c>
      <c r="F118" s="249" t="s">
        <v>38</v>
      </c>
      <c r="G118" s="220"/>
      <c r="H118" s="220"/>
      <c r="I118" s="220"/>
      <c r="J118" s="250" t="str" cm="1">
        <f t="array" aca="1" ref="J118" ca="1">IFERROR(INDEX(_xlfn.ANCHORARRAY($S$12),ROW()-12+1),"")</f>
        <v>CEG</v>
      </c>
      <c r="K118" s="70">
        <f ca="1">IF(Tabla16[[#This Row],[Ticker]]="",0,SUMIF(Tablaholdings[Ticker],Tabla16[[#This Row],[Ticker]],Tablaholdings[Peso Real en Portafolio])/100)</f>
        <v>1.442840508739146E-3</v>
      </c>
      <c r="L118" s="220"/>
      <c r="M118" s="220"/>
      <c r="N118" s="220"/>
      <c r="O118" s="220"/>
      <c r="P118" s="220"/>
      <c r="Q118" s="220"/>
      <c r="S118" s="227" t="str">
        <f ca="1"/>
        <v>CEG</v>
      </c>
      <c r="AB118" s="14" t="s">
        <v>489</v>
      </c>
    </row>
    <row r="119" spans="1:28" ht="30" customHeight="1" x14ac:dyDescent="0.55000000000000004">
      <c r="A119" s="245" t="s">
        <v>487</v>
      </c>
      <c r="B119" s="246" t="s">
        <v>490</v>
      </c>
      <c r="C119" s="247">
        <v>2.6324E-2</v>
      </c>
      <c r="D119" s="248">
        <f t="shared" si="2"/>
        <v>2.6323999999999998E-4</v>
      </c>
      <c r="E119" s="69">
        <f t="shared" ca="1" si="3"/>
        <v>1.0570527329466188E-2</v>
      </c>
      <c r="F119" s="249" t="s">
        <v>37</v>
      </c>
      <c r="G119" s="220"/>
      <c r="H119" s="220"/>
      <c r="I119" s="220"/>
      <c r="J119" s="250" t="str" cm="1">
        <f t="array" aca="1" ref="J119" ca="1">IFERROR(INDEX(_xlfn.ANCHORARRAY($S$12),ROW()-12+1),"")</f>
        <v>WFC</v>
      </c>
      <c r="K119" s="70">
        <f ca="1">IF(Tabla16[[#This Row],[Ticker]]="",0,SUMIF(Tablaholdings[Ticker],Tabla16[[#This Row],[Ticker]],Tablaholdings[Peso Real en Portafolio])/100)</f>
        <v>1.4296714508506172E-3</v>
      </c>
      <c r="L119" s="220"/>
      <c r="M119" s="220"/>
      <c r="N119" s="220"/>
      <c r="O119" s="220"/>
      <c r="P119" s="220"/>
      <c r="Q119" s="220"/>
      <c r="S119" s="227" t="str">
        <f ca="1"/>
        <v>WFC</v>
      </c>
      <c r="AB119" s="14" t="s">
        <v>491</v>
      </c>
    </row>
    <row r="120" spans="1:28" ht="30" customHeight="1" x14ac:dyDescent="0.55000000000000004">
      <c r="A120" s="245" t="s">
        <v>492</v>
      </c>
      <c r="B120" s="246" t="s">
        <v>493</v>
      </c>
      <c r="C120" s="247">
        <v>1.3942669999999999</v>
      </c>
      <c r="D120" s="248">
        <f t="shared" si="2"/>
        <v>1.3942669999999999E-2</v>
      </c>
      <c r="E120" s="69">
        <f t="shared" ca="1" si="3"/>
        <v>0.55987454140984783</v>
      </c>
      <c r="F120" s="249" t="s">
        <v>37</v>
      </c>
      <c r="G120" s="220"/>
      <c r="H120" s="220"/>
      <c r="I120" s="220"/>
      <c r="J120" s="250" t="str" cm="1">
        <f t="array" aca="1" ref="J120" ca="1">IFERROR(INDEX(_xlfn.ANCHORARRAY($S$12),ROW()-12+1),"")</f>
        <v>BR</v>
      </c>
      <c r="K120" s="70">
        <f ca="1">IF(Tabla16[[#This Row],[Ticker]]="",0,SUMIF(Tablaholdings[Ticker],Tabla16[[#This Row],[Ticker]],Tablaholdings[Peso Real en Portafolio])/100)</f>
        <v>1.3977754641946159E-3</v>
      </c>
      <c r="L120" s="220"/>
      <c r="M120" s="220"/>
      <c r="N120" s="220"/>
      <c r="O120" s="220"/>
      <c r="P120" s="220"/>
      <c r="Q120" s="220"/>
      <c r="S120" s="227" t="str">
        <f ca="1"/>
        <v>BR</v>
      </c>
      <c r="AB120" s="14" t="s">
        <v>494</v>
      </c>
    </row>
    <row r="121" spans="1:28" ht="30" customHeight="1" x14ac:dyDescent="0.55000000000000004">
      <c r="A121" s="245" t="s">
        <v>495</v>
      </c>
      <c r="B121" s="246" t="s">
        <v>496</v>
      </c>
      <c r="C121" s="247">
        <v>2.4983000000000002E-2</v>
      </c>
      <c r="D121" s="248">
        <f t="shared" si="2"/>
        <v>2.4983000000000004E-4</v>
      </c>
      <c r="E121" s="69">
        <f t="shared" ca="1" si="3"/>
        <v>1.003204240510765E-2</v>
      </c>
      <c r="F121" s="249" t="s">
        <v>37</v>
      </c>
      <c r="G121" s="220"/>
      <c r="H121" s="220"/>
      <c r="I121" s="220"/>
      <c r="J121" s="250" t="str" cm="1">
        <f t="array" aca="1" ref="J121" ca="1">IFERROR(INDEX(_xlfn.ANCHORARRAY($S$12),ROW()-12+1),"")</f>
        <v>C</v>
      </c>
      <c r="K121" s="70">
        <f ca="1">IF(Tabla16[[#This Row],[Ticker]]="",0,SUMIF(Tablaholdings[Ticker],Tabla16[[#This Row],[Ticker]],Tablaholdings[Peso Real en Portafolio])/100)</f>
        <v>1.3640092175686575E-3</v>
      </c>
      <c r="L121" s="220"/>
      <c r="M121" s="220"/>
      <c r="N121" s="220"/>
      <c r="O121" s="220"/>
      <c r="P121" s="220"/>
      <c r="Q121" s="220"/>
      <c r="S121" s="227" t="str">
        <f ca="1"/>
        <v>C</v>
      </c>
      <c r="AB121" s="14" t="s">
        <v>497</v>
      </c>
    </row>
    <row r="122" spans="1:28" ht="30" customHeight="1" x14ac:dyDescent="0.55000000000000004">
      <c r="A122" s="245" t="s">
        <v>498</v>
      </c>
      <c r="B122" s="246" t="s">
        <v>499</v>
      </c>
      <c r="C122" s="247">
        <v>0.123195</v>
      </c>
      <c r="D122" s="248">
        <f t="shared" si="2"/>
        <v>1.2319499999999999E-3</v>
      </c>
      <c r="E122" s="69">
        <f t="shared" ca="1" si="3"/>
        <v>4.9469537849627224E-2</v>
      </c>
      <c r="F122" s="249" t="s">
        <v>37</v>
      </c>
      <c r="G122" s="220"/>
      <c r="H122" s="220"/>
      <c r="I122" s="220"/>
      <c r="J122" s="250" t="str" cm="1">
        <f t="array" aca="1" ref="J122" ca="1">IFERROR(INDEX(_xlfn.ANCHORARRAY($S$12),ROW()-12+1),"")</f>
        <v>SNDK</v>
      </c>
      <c r="K122" s="70">
        <f ca="1">IF(Tabla16[[#This Row],[Ticker]]="",0,SUMIF(Tablaholdings[Ticker],Tabla16[[#This Row],[Ticker]],Tablaholdings[Peso Real en Portafolio])/100)</f>
        <v>1.3434215053599607E-3</v>
      </c>
      <c r="L122" s="220"/>
      <c r="M122" s="220"/>
      <c r="N122" s="220"/>
      <c r="O122" s="220"/>
      <c r="P122" s="220"/>
      <c r="Q122" s="220"/>
      <c r="S122" s="227" t="str">
        <f ca="1"/>
        <v>SNDK</v>
      </c>
      <c r="AB122" s="14" t="s">
        <v>500</v>
      </c>
    </row>
    <row r="123" spans="1:28" ht="30" customHeight="1" x14ac:dyDescent="0.55000000000000004">
      <c r="A123" s="251" t="s">
        <v>501</v>
      </c>
      <c r="B123" s="252" t="s">
        <v>502</v>
      </c>
      <c r="C123" s="140">
        <v>2.3575232210000001</v>
      </c>
      <c r="D123" s="248">
        <f t="shared" si="2"/>
        <v>2.3575232210000002E-2</v>
      </c>
      <c r="E123" s="69">
        <f t="shared" ca="1" si="3"/>
        <v>0.70757865690794508</v>
      </c>
      <c r="F123" s="249" t="s">
        <v>38</v>
      </c>
      <c r="G123" s="220"/>
      <c r="H123" s="220"/>
      <c r="I123" s="220"/>
      <c r="J123" s="250" t="str" cm="1">
        <f t="array" aca="1" ref="J123" ca="1">IFERROR(INDEX(_xlfn.ANCHORARRAY($S$12),ROW()-12+1),"")</f>
        <v>MPWR</v>
      </c>
      <c r="K123" s="70">
        <f ca="1">IF(Tabla16[[#This Row],[Ticker]]="",0,SUMIF(Tablaholdings[Ticker],Tabla16[[#This Row],[Ticker]],Tablaholdings[Peso Real en Portafolio])/100)</f>
        <v>1.338387130336467E-3</v>
      </c>
      <c r="L123" s="220"/>
      <c r="M123" s="220"/>
      <c r="N123" s="220"/>
      <c r="O123" s="220"/>
      <c r="P123" s="220"/>
      <c r="Q123" s="220"/>
      <c r="S123" s="227" t="str">
        <f ca="1"/>
        <v>MPWR</v>
      </c>
      <c r="AB123" s="14" t="s">
        <v>503</v>
      </c>
    </row>
    <row r="124" spans="1:28" ht="30" customHeight="1" x14ac:dyDescent="0.55000000000000004">
      <c r="A124" s="245" t="s">
        <v>501</v>
      </c>
      <c r="B124" s="246" t="s">
        <v>502</v>
      </c>
      <c r="C124" s="247">
        <v>0.140266</v>
      </c>
      <c r="D124" s="248">
        <f t="shared" si="2"/>
        <v>1.40266E-3</v>
      </c>
      <c r="E124" s="69">
        <f t="shared" ca="1" si="3"/>
        <v>5.6324479045544155E-2</v>
      </c>
      <c r="F124" s="249" t="s">
        <v>37</v>
      </c>
      <c r="G124" s="220"/>
      <c r="H124" s="220"/>
      <c r="I124" s="220"/>
      <c r="J124" s="250" t="str" cm="1">
        <f t="array" aca="1" ref="J124" ca="1">IFERROR(INDEX(_xlfn.ANCHORARRAY($S$12),ROW()-12+1),"")</f>
        <v>ADI</v>
      </c>
      <c r="K124" s="70">
        <f ca="1">IF(Tabla16[[#This Row],[Ticker]]="",0,SUMIF(Tablaholdings[Ticker],Tabla16[[#This Row],[Ticker]],Tablaholdings[Peso Real en Portafolio])/100)</f>
        <v>1.3288571144528139E-3</v>
      </c>
      <c r="L124" s="220"/>
      <c r="M124" s="220"/>
      <c r="N124" s="220"/>
      <c r="O124" s="220"/>
      <c r="P124" s="220"/>
      <c r="Q124" s="220"/>
      <c r="S124" s="227" t="str">
        <f ca="1"/>
        <v>ADI</v>
      </c>
      <c r="AB124" s="14" t="s">
        <v>504</v>
      </c>
    </row>
    <row r="125" spans="1:28" ht="30" customHeight="1" x14ac:dyDescent="0.55000000000000004">
      <c r="A125" s="245" t="s">
        <v>505</v>
      </c>
      <c r="B125" s="246" t="s">
        <v>506</v>
      </c>
      <c r="C125" s="247">
        <v>1.3422E-2</v>
      </c>
      <c r="D125" s="248">
        <f t="shared" si="2"/>
        <v>1.3422E-4</v>
      </c>
      <c r="E125" s="69">
        <f t="shared" ca="1" si="3"/>
        <v>5.3896679006266218E-3</v>
      </c>
      <c r="F125" s="249" t="s">
        <v>37</v>
      </c>
      <c r="G125" s="220"/>
      <c r="H125" s="220"/>
      <c r="I125" s="220"/>
      <c r="J125" s="250" t="str" cm="1">
        <f t="array" aca="1" ref="J125" ca="1">IFERROR(INDEX(_xlfn.ANCHORARRAY($S$12),ROW()-12+1),"")</f>
        <v>MAR</v>
      </c>
      <c r="K125" s="70">
        <f ca="1">IF(Tabla16[[#This Row],[Ticker]]="",0,SUMIF(Tablaholdings[Ticker],Tabla16[[#This Row],[Ticker]],Tablaholdings[Peso Real en Portafolio])/100)</f>
        <v>1.3020216986632089E-3</v>
      </c>
      <c r="L125" s="220"/>
      <c r="M125" s="220"/>
      <c r="N125" s="220"/>
      <c r="O125" s="220"/>
      <c r="P125" s="220"/>
      <c r="Q125" s="220"/>
      <c r="S125" s="227" t="str">
        <f ca="1"/>
        <v>MAR</v>
      </c>
      <c r="AB125" s="14" t="s">
        <v>507</v>
      </c>
    </row>
    <row r="126" spans="1:28" ht="30" customHeight="1" x14ac:dyDescent="0.55000000000000004">
      <c r="A126" s="245" t="s">
        <v>508</v>
      </c>
      <c r="B126" s="246" t="s">
        <v>509</v>
      </c>
      <c r="C126" s="247">
        <v>0.33968199999999998</v>
      </c>
      <c r="D126" s="248">
        <f t="shared" si="2"/>
        <v>3.39682E-3</v>
      </c>
      <c r="E126" s="69">
        <f t="shared" ca="1" si="3"/>
        <v>0.13640092175686575</v>
      </c>
      <c r="F126" s="249" t="s">
        <v>37</v>
      </c>
      <c r="G126" s="220"/>
      <c r="H126" s="220"/>
      <c r="I126" s="220"/>
      <c r="J126" s="250" t="str" cm="1">
        <f t="array" aca="1" ref="J126" ca="1">IFERROR(INDEX(_xlfn.ANCHORARRAY($S$12),ROW()-12+1),"")</f>
        <v>EWBC</v>
      </c>
      <c r="K126" s="70">
        <f ca="1">IF(Tabla16[[#This Row],[Ticker]]="",0,SUMIF(Tablaholdings[Ticker],Tabla16[[#This Row],[Ticker]],Tablaholdings[Peso Real en Portafolio])/100)</f>
        <v>1.2797938179209703E-3</v>
      </c>
      <c r="L126" s="220"/>
      <c r="M126" s="220"/>
      <c r="N126" s="220"/>
      <c r="O126" s="220"/>
      <c r="P126" s="220"/>
      <c r="Q126" s="220"/>
      <c r="S126" s="227" t="str">
        <f ca="1"/>
        <v>EWBC</v>
      </c>
      <c r="AB126" s="14" t="s">
        <v>510</v>
      </c>
    </row>
    <row r="127" spans="1:28" ht="30" customHeight="1" x14ac:dyDescent="0.55000000000000004">
      <c r="A127" s="251" t="s">
        <v>511</v>
      </c>
      <c r="B127" s="252" t="s">
        <v>512</v>
      </c>
      <c r="C127" s="140">
        <v>3.8843773900000003E-2</v>
      </c>
      <c r="D127" s="248">
        <f t="shared" si="2"/>
        <v>3.8843773900000002E-4</v>
      </c>
      <c r="E127" s="69">
        <f t="shared" ca="1" si="3"/>
        <v>1.1587439337929033E-2</v>
      </c>
      <c r="F127" s="249" t="s">
        <v>39</v>
      </c>
      <c r="G127" s="220"/>
      <c r="H127" s="220"/>
      <c r="I127" s="220"/>
      <c r="J127" s="250" t="str" cm="1">
        <f t="array" aca="1" ref="J127" ca="1">IFERROR(INDEX(_xlfn.ANCHORARRAY($S$12),ROW()-12+1),"")</f>
        <v>FTNT</v>
      </c>
      <c r="K127" s="70">
        <f ca="1">IF(Tabla16[[#This Row],[Ticker]]="",0,SUMIF(Tablaholdings[Ticker],Tabla16[[#This Row],[Ticker]],Tablaholdings[Peso Real en Portafolio])/100)</f>
        <v>1.2783146121895473E-3</v>
      </c>
      <c r="L127" s="220"/>
      <c r="M127" s="220"/>
      <c r="N127" s="220"/>
      <c r="O127" s="220"/>
      <c r="P127" s="220"/>
      <c r="Q127" s="220"/>
      <c r="S127" s="227" t="str">
        <f ca="1"/>
        <v>FTNT</v>
      </c>
      <c r="AB127" s="14" t="s">
        <v>513</v>
      </c>
    </row>
    <row r="128" spans="1:28" ht="30" customHeight="1" x14ac:dyDescent="0.55000000000000004">
      <c r="A128" s="245" t="s">
        <v>514</v>
      </c>
      <c r="B128" s="246" t="s">
        <v>515</v>
      </c>
      <c r="C128" s="247">
        <v>1.0583E-2</v>
      </c>
      <c r="D128" s="248">
        <f t="shared" si="2"/>
        <v>1.0583000000000001E-4</v>
      </c>
      <c r="E128" s="69">
        <f t="shared" ca="1" si="3"/>
        <v>4.2496539556199919E-3</v>
      </c>
      <c r="F128" s="249" t="s">
        <v>37</v>
      </c>
      <c r="G128" s="220"/>
      <c r="H128" s="220"/>
      <c r="I128" s="220"/>
      <c r="J128" s="250" t="str" cm="1">
        <f t="array" aca="1" ref="J128" ca="1">IFERROR(INDEX(_xlfn.ANCHORARRAY($S$12),ROW()-12+1),"")</f>
        <v>COHR</v>
      </c>
      <c r="K128" s="70">
        <f ca="1">IF(Tabla16[[#This Row],[Ticker]]="",0,SUMIF(Tablaholdings[Ticker],Tabla16[[#This Row],[Ticker]],Tablaholdings[Peso Real en Portafolio])/100)</f>
        <v>1.2765780501652621E-3</v>
      </c>
      <c r="L128" s="220"/>
      <c r="M128" s="220"/>
      <c r="N128" s="220"/>
      <c r="O128" s="220"/>
      <c r="P128" s="220"/>
      <c r="Q128" s="220"/>
      <c r="S128" s="227" t="str">
        <f ca="1"/>
        <v>COHR</v>
      </c>
      <c r="AB128" s="14" t="s">
        <v>516</v>
      </c>
    </row>
    <row r="129" spans="1:28" ht="30" customHeight="1" x14ac:dyDescent="0.55000000000000004">
      <c r="A129" s="245" t="s">
        <v>517</v>
      </c>
      <c r="B129" s="246" t="s">
        <v>518</v>
      </c>
      <c r="C129" s="247">
        <v>6.855E-2</v>
      </c>
      <c r="D129" s="248">
        <f t="shared" si="2"/>
        <v>6.8550000000000002E-4</v>
      </c>
      <c r="E129" s="69">
        <f t="shared" ca="1" si="3"/>
        <v>2.7526578348081872E-2</v>
      </c>
      <c r="F129" s="249" t="s">
        <v>37</v>
      </c>
      <c r="G129" s="220"/>
      <c r="H129" s="220"/>
      <c r="I129" s="220"/>
      <c r="J129" s="253" t="str" cm="1">
        <f t="array" aca="1" ref="J129" ca="1">IFERROR(INDEX(_xlfn.ANCHORARRAY($S$12),ROW()-12+1),"")</f>
        <v>ORLY</v>
      </c>
      <c r="K129" s="70">
        <f ca="1">IF(Tabla16[[#This Row],[Ticker]]="",0,SUMIF(Tablaholdings[Ticker],Tabla16[[#This Row],[Ticker]],Tablaholdings[Peso Real en Portafolio])/100)</f>
        <v>1.2692396384023086E-3</v>
      </c>
      <c r="L129" s="220"/>
      <c r="M129" s="220"/>
      <c r="N129" s="220"/>
      <c r="O129" s="220"/>
      <c r="P129" s="220"/>
      <c r="Q129" s="220"/>
      <c r="S129" s="227" t="str">
        <f ca="1"/>
        <v>ORLY</v>
      </c>
      <c r="AB129" s="14" t="s">
        <v>519</v>
      </c>
    </row>
    <row r="130" spans="1:28" ht="30" customHeight="1" x14ac:dyDescent="0.55000000000000004">
      <c r="A130" s="245" t="s">
        <v>520</v>
      </c>
      <c r="B130" s="246" t="s">
        <v>521</v>
      </c>
      <c r="C130" s="247">
        <v>8.0621999999999999E-2</v>
      </c>
      <c r="D130" s="248">
        <f t="shared" si="2"/>
        <v>8.0621999999999996E-4</v>
      </c>
      <c r="E130" s="69">
        <f t="shared" ca="1" si="3"/>
        <v>3.2374147331569028E-2</v>
      </c>
      <c r="F130" s="249" t="s">
        <v>37</v>
      </c>
      <c r="G130" s="220"/>
      <c r="H130" s="220"/>
      <c r="I130" s="220"/>
      <c r="J130" s="250" t="str" cm="1">
        <f t="array" aca="1" ref="J130" ca="1">IFERROR(INDEX(_xlfn.ANCHORARRAY($S$12),ROW()-12+1),"")</f>
        <v>IBM</v>
      </c>
      <c r="K130" s="70">
        <f ca="1">IF(Tabla16[[#This Row],[Ticker]]="",0,SUMIF(Tablaholdings[Ticker],Tabla16[[#This Row],[Ticker]],Tablaholdings[Peso Real en Portafolio])/100)</f>
        <v>1.2613637914951827E-3</v>
      </c>
      <c r="L130" s="220"/>
      <c r="M130" s="220"/>
      <c r="N130" s="220"/>
      <c r="O130" s="220"/>
      <c r="P130" s="220"/>
      <c r="Q130" s="220"/>
      <c r="S130" s="227" t="str">
        <f ca="1"/>
        <v>IBM</v>
      </c>
      <c r="AB130" s="14" t="s">
        <v>522</v>
      </c>
    </row>
    <row r="131" spans="1:28" ht="30" customHeight="1" x14ac:dyDescent="0.55000000000000004">
      <c r="A131" s="251" t="s">
        <v>523</v>
      </c>
      <c r="B131" s="252" t="s">
        <v>524</v>
      </c>
      <c r="C131" s="140">
        <v>0.11616267030000001</v>
      </c>
      <c r="D131" s="248">
        <f t="shared" si="2"/>
        <v>1.161626703E-3</v>
      </c>
      <c r="E131" s="69">
        <f t="shared" ca="1" si="3"/>
        <v>3.4652346059328196E-2</v>
      </c>
      <c r="F131" s="249" t="s">
        <v>39</v>
      </c>
      <c r="G131" s="220"/>
      <c r="H131" s="220"/>
      <c r="I131" s="220"/>
      <c r="J131" s="250" t="str" cm="1">
        <f t="array" aca="1" ref="J131" ca="1">IFERROR(INDEX(_xlfn.ANCHORARRAY($S$12),ROW()-12+1),"")</f>
        <v>NEE</v>
      </c>
      <c r="K131" s="70">
        <f ca="1">IF(Tabla16[[#This Row],[Ticker]]="",0,SUMIF(Tablaholdings[Ticker],Tabla16[[#This Row],[Ticker]],Tablaholdings[Peso Real en Portafolio])/100)</f>
        <v>1.2424585937033856E-3</v>
      </c>
      <c r="L131" s="220"/>
      <c r="M131" s="220"/>
      <c r="N131" s="220"/>
      <c r="O131" s="220"/>
      <c r="P131" s="220"/>
      <c r="Q131" s="220"/>
      <c r="S131" s="227" t="str">
        <f ca="1"/>
        <v>NEE</v>
      </c>
      <c r="AB131" s="14" t="s">
        <v>525</v>
      </c>
    </row>
    <row r="132" spans="1:28" ht="30" customHeight="1" x14ac:dyDescent="0.55000000000000004">
      <c r="A132" s="245" t="s">
        <v>523</v>
      </c>
      <c r="B132" s="246" t="s">
        <v>524</v>
      </c>
      <c r="C132" s="247">
        <v>5.1591999999999999E-2</v>
      </c>
      <c r="D132" s="248">
        <f t="shared" si="2"/>
        <v>5.1592000000000001E-4</v>
      </c>
      <c r="E132" s="69">
        <f t="shared" ca="1" si="3"/>
        <v>2.0717012839303283E-2</v>
      </c>
      <c r="F132" s="249" t="s">
        <v>37</v>
      </c>
      <c r="G132" s="220"/>
      <c r="H132" s="220"/>
      <c r="I132" s="220"/>
      <c r="J132" s="250" t="str" cm="1">
        <f t="array" aca="1" ref="J132" ca="1">IFERROR(INDEX(_xlfn.ANCHORARRAY($S$12),ROW()-12+1),"")</f>
        <v>MCD</v>
      </c>
      <c r="K132" s="70">
        <f ca="1">IF(Tabla16[[#This Row],[Ticker]]="",0,SUMIF(Tablaholdings[Ticker],Tabla16[[#This Row],[Ticker]],Tablaholdings[Peso Real en Portafolio])/100)</f>
        <v>1.2343873431593091E-3</v>
      </c>
      <c r="L132" s="220"/>
      <c r="M132" s="220"/>
      <c r="N132" s="220"/>
      <c r="O132" s="220"/>
      <c r="P132" s="220"/>
      <c r="Q132" s="220"/>
      <c r="S132" s="227" t="str">
        <f ca="1"/>
        <v>MCD</v>
      </c>
      <c r="AB132" s="14" t="s">
        <v>526</v>
      </c>
    </row>
    <row r="133" spans="1:28" ht="30" customHeight="1" x14ac:dyDescent="0.55000000000000004">
      <c r="A133" s="245" t="s">
        <v>527</v>
      </c>
      <c r="B133" s="246" t="s">
        <v>528</v>
      </c>
      <c r="C133" s="247">
        <v>0.65749400000000002</v>
      </c>
      <c r="D133" s="248">
        <f t="shared" si="2"/>
        <v>6.5749400000000005E-3</v>
      </c>
      <c r="E133" s="69">
        <f t="shared" ca="1" si="3"/>
        <v>0.26401984105607212</v>
      </c>
      <c r="F133" s="249" t="s">
        <v>37</v>
      </c>
      <c r="G133" s="220"/>
      <c r="H133" s="220"/>
      <c r="I133" s="220"/>
      <c r="J133" s="250" t="str" cm="1">
        <f t="array" aca="1" ref="J133" ca="1">IFERROR(INDEX(_xlfn.ANCHORARRAY($S$12),ROW()-12+1),"")</f>
        <v>HLT</v>
      </c>
      <c r="K133" s="70">
        <f ca="1">IF(Tabla16[[#This Row],[Ticker]]="",0,SUMIF(Tablaholdings[Ticker],Tabla16[[#This Row],[Ticker]],Tablaholdings[Peso Real en Portafolio])/100)</f>
        <v>1.2219948374669067E-3</v>
      </c>
      <c r="L133" s="220"/>
      <c r="M133" s="220"/>
      <c r="N133" s="220"/>
      <c r="O133" s="220"/>
      <c r="P133" s="220"/>
      <c r="Q133" s="220"/>
      <c r="S133" s="227" t="str">
        <f ca="1"/>
        <v>HLT</v>
      </c>
      <c r="AB133" s="14" t="s">
        <v>529</v>
      </c>
    </row>
    <row r="134" spans="1:28" ht="30" customHeight="1" x14ac:dyDescent="0.55000000000000004">
      <c r="A134" s="251" t="s">
        <v>530</v>
      </c>
      <c r="B134" s="252" t="s">
        <v>531</v>
      </c>
      <c r="C134" s="140">
        <v>2.7310179E-2</v>
      </c>
      <c r="D134" s="248">
        <f t="shared" si="2"/>
        <v>2.7310179000000003E-4</v>
      </c>
      <c r="E134" s="69">
        <f t="shared" ca="1" si="3"/>
        <v>8.1468665553756439E-3</v>
      </c>
      <c r="F134" s="249" t="s">
        <v>39</v>
      </c>
      <c r="G134" s="220"/>
      <c r="H134" s="220"/>
      <c r="I134" s="220"/>
      <c r="J134" s="250" t="str" cm="1">
        <f t="array" aca="1" ref="J134" ca="1">IFERROR(INDEX(_xlfn.ANCHORARRAY($S$12),ROW()-12+1),"")</f>
        <v>REGN</v>
      </c>
      <c r="K134" s="70">
        <f ca="1">IF(Tabla16[[#This Row],[Ticker]]="",0,SUMIF(Tablaholdings[Ticker],Tabla16[[#This Row],[Ticker]],Tablaholdings[Peso Real en Portafolio])/100)</f>
        <v>1.2157182397122728E-3</v>
      </c>
      <c r="L134" s="220"/>
      <c r="M134" s="220"/>
      <c r="N134" s="220"/>
      <c r="O134" s="220"/>
      <c r="P134" s="220"/>
      <c r="Q134" s="220"/>
      <c r="S134" s="227" t="str">
        <f ca="1"/>
        <v>REGN</v>
      </c>
      <c r="AB134" s="14" t="s">
        <v>532</v>
      </c>
    </row>
    <row r="135" spans="1:28" ht="30" customHeight="1" x14ac:dyDescent="0.55000000000000004">
      <c r="A135" s="245" t="s">
        <v>533</v>
      </c>
      <c r="B135" s="246" t="s">
        <v>534</v>
      </c>
      <c r="C135" s="247">
        <v>0.17993799999999999</v>
      </c>
      <c r="D135" s="248">
        <f t="shared" si="2"/>
        <v>1.7993799999999999E-3</v>
      </c>
      <c r="E135" s="69">
        <f t="shared" ca="1" si="3"/>
        <v>7.2254959223882656E-2</v>
      </c>
      <c r="F135" s="249" t="s">
        <v>37</v>
      </c>
      <c r="G135" s="220"/>
      <c r="H135" s="220"/>
      <c r="I135" s="220"/>
      <c r="J135" s="250" t="str" cm="1">
        <f t="array" aca="1" ref="J135" ca="1">IFERROR(INDEX(_xlfn.ANCHORARRAY($S$12),ROW()-12+1),"")</f>
        <v>FIX</v>
      </c>
      <c r="K135" s="70">
        <f ca="1">IF(Tabla16[[#This Row],[Ticker]]="",0,SUMIF(Tablaholdings[Ticker],Tabla16[[#This Row],[Ticker]],Tablaholdings[Peso Real en Portafolio])/100)</f>
        <v>1.2105856303675864E-3</v>
      </c>
      <c r="L135" s="220"/>
      <c r="M135" s="220"/>
      <c r="N135" s="220"/>
      <c r="O135" s="220"/>
      <c r="P135" s="220"/>
      <c r="Q135" s="220"/>
      <c r="S135" s="227" t="str">
        <f ca="1"/>
        <v>FIX</v>
      </c>
      <c r="AB135" s="14" t="s">
        <v>535</v>
      </c>
    </row>
    <row r="136" spans="1:28" ht="30" customHeight="1" x14ac:dyDescent="0.55000000000000004">
      <c r="A136" s="245" t="s">
        <v>536</v>
      </c>
      <c r="B136" s="246" t="s">
        <v>537</v>
      </c>
      <c r="C136" s="247">
        <v>6.0060000000000002E-2</v>
      </c>
      <c r="D136" s="248">
        <f t="shared" si="2"/>
        <v>6.0060000000000007E-4</v>
      </c>
      <c r="E136" s="69">
        <f t="shared" ca="1" si="3"/>
        <v>2.4117378491404776E-2</v>
      </c>
      <c r="F136" s="249" t="s">
        <v>37</v>
      </c>
      <c r="G136" s="220"/>
      <c r="H136" s="220"/>
      <c r="I136" s="220"/>
      <c r="J136" s="250" t="str" cm="1">
        <f t="array" aca="1" ref="J136" ca="1">IFERROR(INDEX(_xlfn.ANCHORARRAY($S$12),ROW()-12+1),"")</f>
        <v>SHW</v>
      </c>
      <c r="K136" s="70">
        <f ca="1">IF(Tabla16[[#This Row],[Ticker]]="",0,SUMIF(Tablaholdings[Ticker],Tabla16[[#This Row],[Ticker]],Tablaholdings[Peso Real en Portafolio])/100)</f>
        <v>1.1946210860643764E-3</v>
      </c>
      <c r="L136" s="220"/>
      <c r="M136" s="220"/>
      <c r="N136" s="220"/>
      <c r="O136" s="220"/>
      <c r="P136" s="220"/>
      <c r="Q136" s="220"/>
      <c r="S136" s="227" t="str">
        <f ca="1"/>
        <v>SHW</v>
      </c>
      <c r="AB136" s="14" t="s">
        <v>538</v>
      </c>
    </row>
    <row r="137" spans="1:28" ht="30" customHeight="1" x14ac:dyDescent="0.55000000000000004">
      <c r="A137" s="245" t="s">
        <v>539</v>
      </c>
      <c r="B137" s="246" t="s">
        <v>540</v>
      </c>
      <c r="C137" s="247">
        <v>6.3963999999999993E-2</v>
      </c>
      <c r="D137" s="248">
        <f t="shared" si="2"/>
        <v>6.3963999999999991E-4</v>
      </c>
      <c r="E137" s="69">
        <f t="shared" ca="1" si="3"/>
        <v>2.5685048248821427E-2</v>
      </c>
      <c r="F137" s="249" t="s">
        <v>37</v>
      </c>
      <c r="G137" s="220"/>
      <c r="H137" s="220"/>
      <c r="I137" s="220"/>
      <c r="J137" s="250" t="str" cm="1">
        <f t="array" aca="1" ref="J137" ca="1">IFERROR(INDEX(_xlfn.ANCHORARRAY($S$12),ROW()-12+1),"")</f>
        <v>BA</v>
      </c>
      <c r="K137" s="70">
        <f ca="1">IF(Tabla16[[#This Row],[Ticker]]="",0,SUMIF(Tablaholdings[Ticker],Tabla16[[#This Row],[Ticker]],Tablaholdings[Peso Real en Portafolio])/100)</f>
        <v>1.1878712405212085E-3</v>
      </c>
      <c r="L137" s="220"/>
      <c r="M137" s="220"/>
      <c r="N137" s="220"/>
      <c r="O137" s="220"/>
      <c r="P137" s="220"/>
      <c r="Q137" s="220"/>
      <c r="S137" s="227" t="str">
        <f ca="1"/>
        <v>BA</v>
      </c>
      <c r="AB137" s="14" t="s">
        <v>541</v>
      </c>
    </row>
    <row r="138" spans="1:28" ht="30" customHeight="1" x14ac:dyDescent="0.55000000000000004">
      <c r="A138" s="251" t="s">
        <v>542</v>
      </c>
      <c r="B138" s="252" t="s">
        <v>543</v>
      </c>
      <c r="C138" s="140">
        <v>1.5903649400000001E-2</v>
      </c>
      <c r="D138" s="248">
        <f t="shared" si="2"/>
        <v>1.5903649400000002E-4</v>
      </c>
      <c r="E138" s="69">
        <f t="shared" ca="1" si="3"/>
        <v>4.7732649172437767E-3</v>
      </c>
      <c r="F138" s="249" t="s">
        <v>38</v>
      </c>
      <c r="G138" s="220"/>
      <c r="H138" s="220"/>
      <c r="I138" s="220"/>
      <c r="J138" s="250" t="str" cm="1">
        <f t="array" aca="1" ref="J138" ca="1">IFERROR(INDEX(_xlfn.ANCHORARRAY($S$12),ROW()-12+1),"")</f>
        <v>PSX</v>
      </c>
      <c r="K138" s="70">
        <f ca="1">IF(Tabla16[[#This Row],[Ticker]]="",0,SUMIF(Tablaholdings[Ticker],Tabla16[[#This Row],[Ticker]],Tablaholdings[Peso Real en Portafolio])/100)</f>
        <v>1.165053704169254E-3</v>
      </c>
      <c r="L138" s="220"/>
      <c r="M138" s="220"/>
      <c r="N138" s="220"/>
      <c r="O138" s="220"/>
      <c r="P138" s="220"/>
      <c r="Q138" s="220"/>
      <c r="S138" s="227" t="str">
        <f ca="1"/>
        <v>PSX</v>
      </c>
      <c r="AB138" s="14" t="s">
        <v>544</v>
      </c>
    </row>
    <row r="139" spans="1:28" ht="30" customHeight="1" x14ac:dyDescent="0.55000000000000004">
      <c r="A139" s="245" t="s">
        <v>545</v>
      </c>
      <c r="B139" s="246" t="s">
        <v>546</v>
      </c>
      <c r="C139" s="247">
        <v>6.1089999999999998E-2</v>
      </c>
      <c r="D139" s="248">
        <f t="shared" si="2"/>
        <v>6.1089999999999994E-4</v>
      </c>
      <c r="E139" s="69">
        <f t="shared" ca="1" si="3"/>
        <v>2.4530979887444515E-2</v>
      </c>
      <c r="F139" s="249" t="s">
        <v>37</v>
      </c>
      <c r="G139" s="220"/>
      <c r="H139" s="220"/>
      <c r="I139" s="220"/>
      <c r="J139" s="250" t="str" cm="1">
        <f t="array" aca="1" ref="J139" ca="1">IFERROR(INDEX(_xlfn.ANCHORARRAY($S$12),ROW()-12+1),"")</f>
        <v>KKR</v>
      </c>
      <c r="K139" s="70">
        <f ca="1">IF(Tabla16[[#This Row],[Ticker]]="",0,SUMIF(Tablaholdings[Ticker],Tabla16[[#This Row],[Ticker]],Tablaholdings[Peso Real en Portafolio])/100)</f>
        <v>1.1402221627677686E-3</v>
      </c>
      <c r="L139" s="220"/>
      <c r="M139" s="220"/>
      <c r="N139" s="220"/>
      <c r="O139" s="220"/>
      <c r="P139" s="220"/>
      <c r="Q139" s="220"/>
      <c r="S139" s="227" t="str">
        <f ca="1"/>
        <v>KKR</v>
      </c>
      <c r="AB139" s="14" t="s">
        <v>547</v>
      </c>
    </row>
    <row r="140" spans="1:28" ht="30" customHeight="1" x14ac:dyDescent="0.55000000000000004">
      <c r="A140" s="251" t="s">
        <v>548</v>
      </c>
      <c r="B140" s="252" t="s">
        <v>549</v>
      </c>
      <c r="C140" s="140">
        <v>0.11435630619999999</v>
      </c>
      <c r="D140" s="248">
        <f t="shared" ref="D140:D203" si="4">C140/100</f>
        <v>1.143563062E-3</v>
      </c>
      <c r="E140" s="69">
        <f t="shared" ref="E140:E203" ca="1" si="5">C140 * VLOOKUP(F140, $A$6:$B$8, 2, FALSE)</f>
        <v>3.4113491763531699E-2</v>
      </c>
      <c r="F140" s="249" t="s">
        <v>39</v>
      </c>
      <c r="G140" s="220"/>
      <c r="H140" s="220"/>
      <c r="I140" s="220"/>
      <c r="J140" s="250" t="str" cm="1">
        <f t="array" aca="1" ref="J140" ca="1">IFERROR(INDEX(_xlfn.ANCHORARRAY($S$12),ROW()-12+1),"")</f>
        <v>DDOG</v>
      </c>
      <c r="K140" s="70">
        <f ca="1">IF(Tabla16[[#This Row],[Ticker]]="",0,SUMIF(Tablaholdings[Ticker],Tabla16[[#This Row],[Ticker]],Tablaholdings[Peso Real en Portafolio])/100)</f>
        <v>1.1274570569659139E-3</v>
      </c>
      <c r="L140" s="220"/>
      <c r="M140" s="220"/>
      <c r="N140" s="220"/>
      <c r="O140" s="220"/>
      <c r="P140" s="220"/>
      <c r="Q140" s="220"/>
      <c r="S140" s="227" t="str">
        <f ca="1"/>
        <v>DDOG</v>
      </c>
      <c r="AB140" s="14" t="s">
        <v>550</v>
      </c>
    </row>
    <row r="141" spans="1:28" ht="30" customHeight="1" x14ac:dyDescent="0.55000000000000004">
      <c r="A141" s="245" t="s">
        <v>548</v>
      </c>
      <c r="B141" s="246" t="s">
        <v>551</v>
      </c>
      <c r="C141" s="247">
        <v>5.0375000000000003E-2</v>
      </c>
      <c r="D141" s="248">
        <f t="shared" si="4"/>
        <v>5.0375000000000007E-4</v>
      </c>
      <c r="E141" s="69">
        <f t="shared" ca="1" si="5"/>
        <v>2.0228320704370889E-2</v>
      </c>
      <c r="F141" s="249" t="s">
        <v>37</v>
      </c>
      <c r="G141" s="220"/>
      <c r="H141" s="220"/>
      <c r="I141" s="220"/>
      <c r="J141" s="250" t="str" cm="1">
        <f t="array" aca="1" ref="J141" ca="1">IFERROR(INDEX(_xlfn.ANCHORARRAY($S$12),ROW()-12+1),"")</f>
        <v>TDG</v>
      </c>
      <c r="K141" s="70">
        <f ca="1">IF(Tabla16[[#This Row],[Ticker]]="",0,SUMIF(Tablaholdings[Ticker],Tabla16[[#This Row],[Ticker]],Tablaholdings[Peso Real en Portafolio])/100)</f>
        <v>1.1249135313747252E-3</v>
      </c>
      <c r="L141" s="220"/>
      <c r="M141" s="220"/>
      <c r="N141" s="220"/>
      <c r="O141" s="220"/>
      <c r="P141" s="220"/>
      <c r="Q141" s="220"/>
      <c r="S141" s="227" t="str">
        <f ca="1"/>
        <v>TDG</v>
      </c>
      <c r="AB141" s="14" t="s">
        <v>552</v>
      </c>
    </row>
    <row r="142" spans="1:28" ht="30" customHeight="1" x14ac:dyDescent="0.55000000000000004">
      <c r="A142" s="251" t="s">
        <v>553</v>
      </c>
      <c r="B142" s="252" t="s">
        <v>554</v>
      </c>
      <c r="C142" s="140">
        <v>0.34032376089999999</v>
      </c>
      <c r="D142" s="248">
        <f t="shared" si="4"/>
        <v>3.4032376090000001E-3</v>
      </c>
      <c r="E142" s="69">
        <f t="shared" ca="1" si="5"/>
        <v>0.10152157060837526</v>
      </c>
      <c r="F142" s="249" t="s">
        <v>39</v>
      </c>
      <c r="G142" s="220"/>
      <c r="H142" s="220"/>
      <c r="I142" s="220"/>
      <c r="J142" s="250" t="str" cm="1">
        <f t="array" aca="1" ref="J142" ca="1">IFERROR(INDEX(_xlfn.ANCHORARRAY($S$12),ROW()-12+1),"")</f>
        <v>MCO</v>
      </c>
      <c r="K142" s="70">
        <f ca="1">IF(Tabla16[[#This Row],[Ticker]]="",0,SUMIF(Tablaholdings[Ticker],Tabla16[[#This Row],[Ticker]],Tablaholdings[Peso Real en Portafolio])/100)</f>
        <v>1.1217053675824345E-3</v>
      </c>
      <c r="L142" s="220"/>
      <c r="M142" s="220"/>
      <c r="N142" s="220"/>
      <c r="O142" s="220"/>
      <c r="P142" s="220"/>
      <c r="Q142" s="220"/>
      <c r="S142" s="227" t="str">
        <f ca="1"/>
        <v>MCO</v>
      </c>
      <c r="AB142" s="14" t="s">
        <v>555</v>
      </c>
    </row>
    <row r="143" spans="1:28" ht="30" customHeight="1" x14ac:dyDescent="0.55000000000000004">
      <c r="A143" s="245" t="s">
        <v>553</v>
      </c>
      <c r="B143" s="246" t="s">
        <v>556</v>
      </c>
      <c r="C143" s="247">
        <v>0.15126500000000001</v>
      </c>
      <c r="D143" s="248">
        <f t="shared" si="4"/>
        <v>1.5126500000000001E-3</v>
      </c>
      <c r="E143" s="69">
        <f t="shared" ca="1" si="5"/>
        <v>6.07411797785938E-2</v>
      </c>
      <c r="F143" s="249" t="s">
        <v>37</v>
      </c>
      <c r="G143" s="220"/>
      <c r="H143" s="220"/>
      <c r="I143" s="220"/>
      <c r="J143" s="250" t="str" cm="1">
        <f t="array" aca="1" ref="J143" ca="1">IFERROR(INDEX(_xlfn.ANCHORARRAY($S$12),ROW()-12+1),"")</f>
        <v>WSO</v>
      </c>
      <c r="K143" s="70">
        <f ca="1">IF(Tabla16[[#This Row],[Ticker]]="",0,SUMIF(Tablaholdings[Ticker],Tabla16[[#This Row],[Ticker]],Tablaholdings[Peso Real en Portafolio])/100)</f>
        <v>1.1216456267872845E-3</v>
      </c>
      <c r="L143" s="220"/>
      <c r="M143" s="220"/>
      <c r="N143" s="220"/>
      <c r="O143" s="220"/>
      <c r="P143" s="220"/>
      <c r="Q143" s="220"/>
      <c r="S143" s="227" t="str">
        <f ca="1"/>
        <v>WSO</v>
      </c>
      <c r="AB143" s="14" t="s">
        <v>557</v>
      </c>
    </row>
    <row r="144" spans="1:28" ht="30" customHeight="1" x14ac:dyDescent="0.55000000000000004">
      <c r="A144" s="245" t="s">
        <v>558</v>
      </c>
      <c r="B144" s="246" t="s">
        <v>559</v>
      </c>
      <c r="C144" s="247">
        <v>2.0483000000000001E-2</v>
      </c>
      <c r="D144" s="248">
        <f t="shared" si="4"/>
        <v>2.0483E-4</v>
      </c>
      <c r="E144" s="69">
        <f t="shared" ca="1" si="5"/>
        <v>8.2250460146427572E-3</v>
      </c>
      <c r="F144" s="249" t="s">
        <v>37</v>
      </c>
      <c r="G144" s="220"/>
      <c r="H144" s="220"/>
      <c r="I144" s="220"/>
      <c r="J144" s="253" t="str" cm="1">
        <f t="array" aca="1" ref="J144" ca="1">IFERROR(INDEX(_xlfn.ANCHORARRAY($S$12),ROW()-12+1),"")</f>
        <v>STX</v>
      </c>
      <c r="K144" s="70">
        <f ca="1">IF(Tabla16[[#This Row],[Ticker]]="",0,SUMIF(Tablaholdings[Ticker],Tabla16[[#This Row],[Ticker]],Tablaholdings[Peso Real en Portafolio])/100)</f>
        <v>1.1205666482976926E-3</v>
      </c>
      <c r="L144" s="220"/>
      <c r="M144" s="220"/>
      <c r="N144" s="220"/>
      <c r="O144" s="220"/>
      <c r="P144" s="220"/>
      <c r="Q144" s="220"/>
      <c r="S144" s="227" t="str">
        <f ca="1"/>
        <v>STX</v>
      </c>
      <c r="AB144" s="14" t="s">
        <v>560</v>
      </c>
    </row>
    <row r="145" spans="1:28" ht="30" customHeight="1" x14ac:dyDescent="0.55000000000000004">
      <c r="A145" s="251" t="s">
        <v>561</v>
      </c>
      <c r="B145" s="252" t="s">
        <v>562</v>
      </c>
      <c r="C145" s="140">
        <v>0.30321742309999999</v>
      </c>
      <c r="D145" s="248">
        <f t="shared" si="4"/>
        <v>3.0321742309999998E-3</v>
      </c>
      <c r="E145" s="69">
        <f t="shared" ca="1" si="5"/>
        <v>9.0452423737705137E-2</v>
      </c>
      <c r="F145" s="249" t="s">
        <v>39</v>
      </c>
      <c r="G145" s="220"/>
      <c r="H145" s="220"/>
      <c r="I145" s="220"/>
      <c r="J145" s="250" t="str" cm="1">
        <f t="array" aca="1" ref="J145" ca="1">IFERROR(INDEX(_xlfn.ANCHORARRAY($S$12),ROW()-12+1),"")</f>
        <v>APA</v>
      </c>
      <c r="K145" s="70">
        <f ca="1">IF(Tabla16[[#This Row],[Ticker]]="",0,SUMIF(Tablaholdings[Ticker],Tabla16[[#This Row],[Ticker]],Tablaholdings[Peso Real en Portafolio])/100)</f>
        <v>1.0987745656915928E-3</v>
      </c>
      <c r="L145" s="220"/>
      <c r="M145" s="220"/>
      <c r="N145" s="220"/>
      <c r="O145" s="220"/>
      <c r="P145" s="220"/>
      <c r="Q145" s="220"/>
      <c r="S145" s="227" t="str">
        <f ca="1"/>
        <v>APA</v>
      </c>
      <c r="AB145" s="14" t="s">
        <v>563</v>
      </c>
    </row>
    <row r="146" spans="1:28" ht="30" customHeight="1" x14ac:dyDescent="0.55000000000000004">
      <c r="A146" s="245" t="s">
        <v>561</v>
      </c>
      <c r="B146" s="246" t="s">
        <v>564</v>
      </c>
      <c r="C146" s="247">
        <v>0.13405800000000001</v>
      </c>
      <c r="D146" s="248">
        <f t="shared" si="4"/>
        <v>1.3405800000000001E-3</v>
      </c>
      <c r="E146" s="69">
        <f t="shared" ca="1" si="5"/>
        <v>5.3831627136209481E-2</v>
      </c>
      <c r="F146" s="249" t="s">
        <v>37</v>
      </c>
      <c r="G146" s="220"/>
      <c r="H146" s="220"/>
      <c r="I146" s="220"/>
      <c r="J146" s="250" t="str" cm="1">
        <f t="array" aca="1" ref="J146" ca="1">IFERROR(INDEX(_xlfn.ANCHORARRAY($S$12),ROW()-12+1),"")</f>
        <v>T</v>
      </c>
      <c r="K146" s="70">
        <f ca="1">IF(Tabla16[[#This Row],[Ticker]]="",0,SUMIF(Tablaholdings[Ticker],Tabla16[[#This Row],[Ticker]],Tablaholdings[Peso Real en Portafolio])/100)</f>
        <v>1.0888799627040073E-3</v>
      </c>
      <c r="L146" s="220"/>
      <c r="M146" s="220"/>
      <c r="N146" s="220"/>
      <c r="O146" s="220"/>
      <c r="P146" s="220"/>
      <c r="Q146" s="220"/>
      <c r="S146" s="227" t="str">
        <f ca="1"/>
        <v>T</v>
      </c>
      <c r="AB146" s="14" t="s">
        <v>565</v>
      </c>
    </row>
    <row r="147" spans="1:28" ht="30" customHeight="1" x14ac:dyDescent="0.55000000000000004">
      <c r="A147" s="251" t="s">
        <v>566</v>
      </c>
      <c r="B147" s="252" t="s">
        <v>567</v>
      </c>
      <c r="C147" s="140">
        <v>1.6521700899999998E-2</v>
      </c>
      <c r="D147" s="248">
        <f t="shared" si="4"/>
        <v>1.6521700899999999E-4</v>
      </c>
      <c r="E147" s="69">
        <f t="shared" ca="1" si="5"/>
        <v>4.9285686666546442E-3</v>
      </c>
      <c r="F147" s="249" t="s">
        <v>39</v>
      </c>
      <c r="G147" s="220"/>
      <c r="H147" s="220"/>
      <c r="I147" s="220"/>
      <c r="J147" s="250" t="str" cm="1">
        <f t="array" aca="1" ref="J147" ca="1">IFERROR(INDEX(_xlfn.ANCHORARRAY($S$12),ROW()-12+1),"")</f>
        <v>BKR</v>
      </c>
      <c r="K147" s="70">
        <f ca="1">IF(Tabla16[[#This Row],[Ticker]]="",0,SUMIF(Tablaholdings[Ticker],Tabla16[[#This Row],[Ticker]],Tablaholdings[Peso Real en Portafolio])/100)</f>
        <v>1.0794276582578872E-3</v>
      </c>
      <c r="L147" s="220"/>
      <c r="M147" s="220"/>
      <c r="N147" s="220"/>
      <c r="O147" s="220"/>
      <c r="P147" s="220"/>
      <c r="Q147" s="220"/>
      <c r="S147" s="227" t="str">
        <f ca="1"/>
        <v>BKR</v>
      </c>
      <c r="AB147" s="14" t="s">
        <v>568</v>
      </c>
    </row>
    <row r="148" spans="1:28" ht="30" customHeight="1" x14ac:dyDescent="0.55000000000000004">
      <c r="A148" s="245" t="s">
        <v>569</v>
      </c>
      <c r="B148" s="246" t="s">
        <v>570</v>
      </c>
      <c r="C148" s="247">
        <v>3.0713000000000001E-2</v>
      </c>
      <c r="D148" s="248">
        <f t="shared" si="4"/>
        <v>3.0713000000000002E-4</v>
      </c>
      <c r="E148" s="69">
        <f t="shared" ca="1" si="5"/>
        <v>1.2332951142299615E-2</v>
      </c>
      <c r="F148" s="249" t="s">
        <v>37</v>
      </c>
      <c r="G148" s="220"/>
      <c r="H148" s="220"/>
      <c r="I148" s="220"/>
      <c r="J148" s="250" t="str" cm="1">
        <f t="array" aca="1" ref="J148" ca="1">IFERROR(INDEX(_xlfn.ANCHORARRAY($S$12),ROW()-12+1),"")</f>
        <v>WDC</v>
      </c>
      <c r="K148" s="70">
        <f ca="1">IF(Tabla16[[#This Row],[Ticker]]="",0,SUMIF(Tablaholdings[Ticker],Tabla16[[#This Row],[Ticker]],Tablaholdings[Peso Real en Portafolio])/100)</f>
        <v>1.0531656829333522E-3</v>
      </c>
      <c r="L148" s="220"/>
      <c r="M148" s="220"/>
      <c r="N148" s="220"/>
      <c r="O148" s="220"/>
      <c r="P148" s="220"/>
      <c r="Q148" s="220"/>
      <c r="S148" s="227" t="str">
        <f ca="1"/>
        <v>WDC</v>
      </c>
      <c r="AB148" s="14" t="s">
        <v>571</v>
      </c>
    </row>
    <row r="149" spans="1:28" ht="30" customHeight="1" x14ac:dyDescent="0.55000000000000004">
      <c r="A149" s="245" t="s">
        <v>572</v>
      </c>
      <c r="B149" s="246" t="s">
        <v>573</v>
      </c>
      <c r="C149" s="247">
        <v>4.0161000000000002E-2</v>
      </c>
      <c r="D149" s="248">
        <f t="shared" si="4"/>
        <v>4.0161E-4</v>
      </c>
      <c r="E149" s="69">
        <f t="shared" ca="1" si="5"/>
        <v>1.6126840452769017E-2</v>
      </c>
      <c r="F149" s="249" t="s">
        <v>37</v>
      </c>
      <c r="G149" s="220"/>
      <c r="H149" s="220"/>
      <c r="I149" s="220"/>
      <c r="J149" s="250" t="str" cm="1">
        <f t="array" aca="1" ref="J149" ca="1">IFERROR(INDEX(_xlfn.ANCHORARRAY($S$12),ROW()-12+1),"")</f>
        <v>HOOD</v>
      </c>
      <c r="K149" s="70">
        <f ca="1">IF(Tabla16[[#This Row],[Ticker]]="",0,SUMIF(Tablaholdings[Ticker],Tabla16[[#This Row],[Ticker]],Tablaholdings[Peso Real en Portafolio])/100)</f>
        <v>1.0522093570302924E-3</v>
      </c>
      <c r="L149" s="220"/>
      <c r="M149" s="220"/>
      <c r="N149" s="220"/>
      <c r="O149" s="220"/>
      <c r="P149" s="220"/>
      <c r="Q149" s="220"/>
      <c r="S149" s="227" t="str">
        <f ca="1"/>
        <v>HOOD</v>
      </c>
      <c r="AB149" s="14" t="s">
        <v>574</v>
      </c>
    </row>
    <row r="150" spans="1:28" ht="30" customHeight="1" x14ac:dyDescent="0.55000000000000004">
      <c r="A150" s="251" t="s">
        <v>575</v>
      </c>
      <c r="B150" s="252" t="s">
        <v>576</v>
      </c>
      <c r="C150" s="140">
        <v>4.5468226600000002E-2</v>
      </c>
      <c r="D150" s="248">
        <f t="shared" si="4"/>
        <v>4.54682266E-4</v>
      </c>
      <c r="E150" s="69">
        <f t="shared" ca="1" si="5"/>
        <v>1.3646672246124231E-2</v>
      </c>
      <c r="F150" s="249" t="s">
        <v>38</v>
      </c>
      <c r="G150" s="220"/>
      <c r="H150" s="220"/>
      <c r="I150" s="220"/>
      <c r="J150" s="250" t="str" cm="1">
        <f t="array" aca="1" ref="J150" ca="1">IFERROR(INDEX(_xlfn.ANCHORARRAY($S$12),ROW()-12+1),"")</f>
        <v>APO</v>
      </c>
      <c r="K150" s="70">
        <f ca="1">IF(Tabla16[[#This Row],[Ticker]]="",0,SUMIF(Tablaholdings[Ticker],Tabla16[[#This Row],[Ticker]],Tablaholdings[Peso Real en Portafolio])/100)</f>
        <v>1.0460824120457062E-3</v>
      </c>
      <c r="L150" s="220"/>
      <c r="M150" s="220"/>
      <c r="N150" s="220"/>
      <c r="O150" s="220"/>
      <c r="P150" s="220"/>
      <c r="Q150" s="220"/>
      <c r="S150" s="227" t="str">
        <f ca="1"/>
        <v>APO</v>
      </c>
      <c r="AB150" s="14" t="s">
        <v>577</v>
      </c>
    </row>
    <row r="151" spans="1:28" ht="30" customHeight="1" x14ac:dyDescent="0.55000000000000004">
      <c r="A151" s="245" t="s">
        <v>578</v>
      </c>
      <c r="B151" s="246" t="s">
        <v>579</v>
      </c>
      <c r="C151" s="247">
        <v>3.5164000000000001E-2</v>
      </c>
      <c r="D151" s="248">
        <f t="shared" si="4"/>
        <v>3.5164000000000001E-4</v>
      </c>
      <c r="E151" s="69">
        <f t="shared" ca="1" si="5"/>
        <v>1.4120271349846112E-2</v>
      </c>
      <c r="F151" s="249" t="s">
        <v>37</v>
      </c>
      <c r="G151" s="220"/>
      <c r="H151" s="220"/>
      <c r="I151" s="220"/>
      <c r="J151" s="250" t="str" cm="1">
        <f t="array" aca="1" ref="J151" ca="1">IFERROR(INDEX(_xlfn.ANCHORARRAY($S$12),ROW()-12+1),"")</f>
        <v>AXP</v>
      </c>
      <c r="K151" s="70">
        <f ca="1">IF(Tabla16[[#This Row],[Ticker]]="",0,SUMIF(Tablaholdings[Ticker],Tabla16[[#This Row],[Ticker]],Tablaholdings[Peso Real en Portafolio])/100)</f>
        <v>1.0428939123404428E-3</v>
      </c>
      <c r="L151" s="220"/>
      <c r="M151" s="220"/>
      <c r="N151" s="220"/>
      <c r="O151" s="220"/>
      <c r="P151" s="220"/>
      <c r="Q151" s="220"/>
      <c r="S151" s="227" t="str">
        <f ca="1"/>
        <v>AXP</v>
      </c>
      <c r="AB151" s="14" t="s">
        <v>580</v>
      </c>
    </row>
    <row r="152" spans="1:28" ht="30" customHeight="1" x14ac:dyDescent="0.55000000000000004">
      <c r="A152" s="251" t="s">
        <v>581</v>
      </c>
      <c r="B152" s="252" t="s">
        <v>582</v>
      </c>
      <c r="C152" s="140">
        <v>2.0396316899999999E-2</v>
      </c>
      <c r="D152" s="248">
        <f t="shared" si="4"/>
        <v>2.0396316899999999E-4</v>
      </c>
      <c r="E152" s="69">
        <f t="shared" ca="1" si="5"/>
        <v>6.0844006919710423E-3</v>
      </c>
      <c r="F152" s="249" t="s">
        <v>39</v>
      </c>
      <c r="G152" s="220"/>
      <c r="H152" s="220"/>
      <c r="I152" s="220"/>
      <c r="J152" s="250" t="str" cm="1">
        <f t="array" aca="1" ref="J152" ca="1">IFERROR(INDEX(_xlfn.ANCHORARRAY($S$12),ROW()-12+1),"")</f>
        <v>GILD</v>
      </c>
      <c r="K152" s="70">
        <f ca="1">IF(Tabla16[[#This Row],[Ticker]]="",0,SUMIF(Tablaholdings[Ticker],Tabla16[[#This Row],[Ticker]],Tablaholdings[Peso Real en Portafolio])/100)</f>
        <v>1.0382077683678372E-3</v>
      </c>
      <c r="L152" s="220"/>
      <c r="M152" s="220"/>
      <c r="N152" s="220"/>
      <c r="O152" s="220"/>
      <c r="P152" s="220"/>
      <c r="Q152" s="220"/>
      <c r="S152" s="227" t="str">
        <f ca="1"/>
        <v>GILD</v>
      </c>
      <c r="AB152" s="14" t="s">
        <v>583</v>
      </c>
    </row>
    <row r="153" spans="1:28" ht="30" customHeight="1" x14ac:dyDescent="0.55000000000000004">
      <c r="A153" s="251" t="s">
        <v>584</v>
      </c>
      <c r="B153" s="252" t="s">
        <v>585</v>
      </c>
      <c r="C153" s="140">
        <v>1.9872226699999999E-2</v>
      </c>
      <c r="D153" s="248">
        <f t="shared" si="4"/>
        <v>1.9872226699999999E-4</v>
      </c>
      <c r="E153" s="69">
        <f t="shared" ca="1" si="5"/>
        <v>5.9280599765777035E-3</v>
      </c>
      <c r="F153" s="249" t="s">
        <v>39</v>
      </c>
      <c r="G153" s="220"/>
      <c r="H153" s="220"/>
      <c r="I153" s="220"/>
      <c r="J153" s="250" t="str" cm="1">
        <f t="array" aca="1" ref="J153" ca="1">IFERROR(INDEX(_xlfn.ANCHORARRAY($S$12),ROW()-12+1),"")</f>
        <v>TEL</v>
      </c>
      <c r="K153" s="70">
        <f ca="1">IF(Tabla16[[#This Row],[Ticker]]="",0,SUMIF(Tablaholdings[Ticker],Tabla16[[#This Row],[Ticker]],Tablaholdings[Peso Real en Portafolio])/100)</f>
        <v>1.0260786296060695E-3</v>
      </c>
      <c r="L153" s="220"/>
      <c r="M153" s="220"/>
      <c r="N153" s="220"/>
      <c r="O153" s="220"/>
      <c r="P153" s="220"/>
      <c r="Q153" s="220"/>
      <c r="S153" s="227" t="str">
        <f ca="1"/>
        <v>TEL</v>
      </c>
      <c r="AB153" s="14" t="s">
        <v>586</v>
      </c>
    </row>
    <row r="154" spans="1:28" ht="30" customHeight="1" x14ac:dyDescent="0.55000000000000004">
      <c r="A154" s="245" t="s">
        <v>587</v>
      </c>
      <c r="B154" s="246" t="s">
        <v>588</v>
      </c>
      <c r="C154" s="247">
        <v>3.0261E-2</v>
      </c>
      <c r="D154" s="248">
        <f t="shared" si="4"/>
        <v>3.0260999999999998E-4</v>
      </c>
      <c r="E154" s="69">
        <f t="shared" ca="1" si="5"/>
        <v>1.2151448393746251E-2</v>
      </c>
      <c r="F154" s="249" t="s">
        <v>37</v>
      </c>
      <c r="G154" s="220"/>
      <c r="H154" s="220"/>
      <c r="I154" s="220"/>
      <c r="J154" s="250" t="str" cm="1">
        <f t="array" aca="1" ref="J154" ca="1">IFERROR(INDEX(_xlfn.ANCHORARRAY($S$12),ROW()-12+1),"")</f>
        <v>TJX</v>
      </c>
      <c r="K154" s="70">
        <f ca="1">IF(Tabla16[[#This Row],[Ticker]]="",0,SUMIF(Tablaholdings[Ticker],Tabla16[[#This Row],[Ticker]],Tablaholdings[Peso Real en Portafolio])/100)</f>
        <v>1.0231253718287567E-3</v>
      </c>
      <c r="L154" s="220"/>
      <c r="M154" s="220"/>
      <c r="N154" s="220"/>
      <c r="O154" s="220"/>
      <c r="P154" s="220"/>
      <c r="Q154" s="220"/>
      <c r="S154" s="227" t="str">
        <f ca="1"/>
        <v>TJX</v>
      </c>
      <c r="AB154" s="14" t="s">
        <v>589</v>
      </c>
    </row>
    <row r="155" spans="1:28" ht="30" customHeight="1" x14ac:dyDescent="0.55000000000000004">
      <c r="A155" s="245" t="s">
        <v>590</v>
      </c>
      <c r="B155" s="246" t="s">
        <v>591</v>
      </c>
      <c r="C155" s="247">
        <v>1.9304999999999999E-2</v>
      </c>
      <c r="D155" s="248">
        <f t="shared" si="4"/>
        <v>1.9305E-4</v>
      </c>
      <c r="E155" s="69">
        <f t="shared" ca="1" si="5"/>
        <v>7.7520145150943914E-3</v>
      </c>
      <c r="F155" s="249" t="s">
        <v>37</v>
      </c>
      <c r="G155" s="220"/>
      <c r="H155" s="220"/>
      <c r="I155" s="220"/>
      <c r="J155" s="250" t="str" cm="1">
        <f t="array" aca="1" ref="J155" ca="1">IFERROR(INDEX(_xlfn.ANCHORARRAY($S$12),ROW()-12+1),"")</f>
        <v>URI</v>
      </c>
      <c r="K155" s="70">
        <f ca="1">IF(Tabla16[[#This Row],[Ticker]]="",0,SUMIF(Tablaholdings[Ticker],Tabla16[[#This Row],[Ticker]],Tablaholdings[Peso Real en Portafolio])/100)</f>
        <v>1.01811515271489E-3</v>
      </c>
      <c r="L155" s="220"/>
      <c r="M155" s="220"/>
      <c r="N155" s="220"/>
      <c r="O155" s="220"/>
      <c r="P155" s="220"/>
      <c r="Q155" s="220"/>
      <c r="S155" s="227" t="str">
        <f ca="1"/>
        <v>URI</v>
      </c>
      <c r="AB155" s="14" t="s">
        <v>592</v>
      </c>
    </row>
    <row r="156" spans="1:28" ht="30" customHeight="1" x14ac:dyDescent="0.55000000000000004">
      <c r="A156" s="245" t="s">
        <v>593</v>
      </c>
      <c r="B156" s="246" t="s">
        <v>594</v>
      </c>
      <c r="C156" s="247">
        <v>0.124127</v>
      </c>
      <c r="D156" s="248">
        <f t="shared" si="4"/>
        <v>1.24127E-3</v>
      </c>
      <c r="E156" s="69">
        <f t="shared" ca="1" si="5"/>
        <v>4.9843786879830175E-2</v>
      </c>
      <c r="F156" s="249" t="s">
        <v>37</v>
      </c>
      <c r="G156" s="220"/>
      <c r="H156" s="220"/>
      <c r="I156" s="220"/>
      <c r="J156" s="250" t="str" cm="1">
        <f t="array" aca="1" ref="J156" ca="1">IFERROR(INDEX(_xlfn.ANCHORARRAY($S$12),ROW()-12+1),"")</f>
        <v>GLW</v>
      </c>
      <c r="K156" s="70">
        <f ca="1">IF(Tabla16[[#This Row],[Ticker]]="",0,SUMIF(Tablaholdings[Ticker],Tabla16[[#This Row],[Ticker]],Tablaholdings[Peso Real en Portafolio])/100)</f>
        <v>1.0135201821265523E-3</v>
      </c>
      <c r="L156" s="220"/>
      <c r="M156" s="220"/>
      <c r="N156" s="220"/>
      <c r="O156" s="220"/>
      <c r="P156" s="220"/>
      <c r="Q156" s="220"/>
      <c r="S156" s="227" t="str">
        <f ca="1"/>
        <v>GLW</v>
      </c>
      <c r="AB156" s="14" t="s">
        <v>595</v>
      </c>
    </row>
    <row r="157" spans="1:28" ht="30" customHeight="1" x14ac:dyDescent="0.55000000000000004">
      <c r="A157" s="245" t="s">
        <v>596</v>
      </c>
      <c r="B157" s="246" t="s">
        <v>597</v>
      </c>
      <c r="C157" s="247">
        <v>0.127805</v>
      </c>
      <c r="D157" s="248">
        <f t="shared" si="4"/>
        <v>1.27805E-3</v>
      </c>
      <c r="E157" s="69">
        <f t="shared" ca="1" si="5"/>
        <v>5.1320705262970154E-2</v>
      </c>
      <c r="F157" s="249" t="s">
        <v>37</v>
      </c>
      <c r="G157" s="220"/>
      <c r="H157" s="220"/>
      <c r="I157" s="220"/>
      <c r="J157" s="250" t="str" cm="1">
        <f t="array" aca="1" ref="J157" ca="1">IFERROR(INDEX(_xlfn.ANCHORARRAY($S$12),ROW()-12+1),"")</f>
        <v>ETN</v>
      </c>
      <c r="K157" s="70">
        <f ca="1">IF(Tabla16[[#This Row],[Ticker]]="",0,SUMIF(Tablaholdings[Ticker],Tabla16[[#This Row],[Ticker]],Tablaholdings[Peso Real en Portafolio])/100)</f>
        <v>9.9470332638051115E-4</v>
      </c>
      <c r="L157" s="220"/>
      <c r="M157" s="220"/>
      <c r="N157" s="220"/>
      <c r="O157" s="220"/>
      <c r="P157" s="220"/>
      <c r="Q157" s="220"/>
      <c r="S157" s="227" t="str">
        <f ca="1"/>
        <v>ETN</v>
      </c>
      <c r="AB157" s="14" t="s">
        <v>598</v>
      </c>
    </row>
    <row r="158" spans="1:28" ht="30" customHeight="1" x14ac:dyDescent="0.55000000000000004">
      <c r="A158" s="251" t="s">
        <v>599</v>
      </c>
      <c r="B158" s="252" t="s">
        <v>600</v>
      </c>
      <c r="C158" s="140">
        <v>0.6631255331</v>
      </c>
      <c r="D158" s="248">
        <f t="shared" si="4"/>
        <v>6.6312553309999999E-3</v>
      </c>
      <c r="E158" s="69">
        <f t="shared" ca="1" si="5"/>
        <v>0.19902814525544096</v>
      </c>
      <c r="F158" s="249" t="s">
        <v>38</v>
      </c>
      <c r="G158" s="220"/>
      <c r="H158" s="220"/>
      <c r="I158" s="220"/>
      <c r="J158" s="250" t="str" cm="1">
        <f t="array" aca="1" ref="J158" ca="1">IFERROR(INDEX(_xlfn.ANCHORARRAY($S$12),ROW()-12+1),"")</f>
        <v>UNP</v>
      </c>
      <c r="K158" s="70">
        <f ca="1">IF(Tabla16[[#This Row],[Ticker]]="",0,SUMIF(Tablaholdings[Ticker],Tabla16[[#This Row],[Ticker]],Tablaholdings[Peso Real en Portafolio])/100)</f>
        <v>9.8772028921824818E-4</v>
      </c>
      <c r="L158" s="220"/>
      <c r="M158" s="220"/>
      <c r="N158" s="220"/>
      <c r="O158" s="220"/>
      <c r="P158" s="220"/>
      <c r="Q158" s="220"/>
      <c r="S158" s="227" t="str">
        <f ca="1"/>
        <v>UNP</v>
      </c>
      <c r="AB158" s="14" t="s">
        <v>601</v>
      </c>
    </row>
    <row r="159" spans="1:28" ht="30" customHeight="1" x14ac:dyDescent="0.55000000000000004">
      <c r="A159" s="245" t="s">
        <v>599</v>
      </c>
      <c r="B159" s="246" t="s">
        <v>600</v>
      </c>
      <c r="C159" s="247">
        <v>3.9964E-2</v>
      </c>
      <c r="D159" s="248">
        <f t="shared" si="4"/>
        <v>3.9963999999999999E-4</v>
      </c>
      <c r="E159" s="69">
        <f t="shared" ca="1" si="5"/>
        <v>1.6047734166341997E-2</v>
      </c>
      <c r="F159" s="249" t="s">
        <v>37</v>
      </c>
      <c r="G159" s="220"/>
      <c r="H159" s="220"/>
      <c r="I159" s="220"/>
      <c r="J159" s="250" t="str" cm="1">
        <f t="array" aca="1" ref="J159" ca="1">IFERROR(INDEX(_xlfn.ANCHORARRAY($S$12),ROW()-12+1),"")</f>
        <v>WELL</v>
      </c>
      <c r="K159" s="70">
        <f ca="1">IF(Tabla16[[#This Row],[Ticker]]="",0,SUMIF(Tablaholdings[Ticker],Tabla16[[#This Row],[Ticker]],Tablaholdings[Peso Real en Portafolio])/100)</f>
        <v>9.6568296434964521E-4</v>
      </c>
      <c r="L159" s="220"/>
      <c r="M159" s="220"/>
      <c r="N159" s="220"/>
      <c r="O159" s="220"/>
      <c r="P159" s="220"/>
      <c r="Q159" s="220"/>
      <c r="S159" s="227" t="str">
        <f ca="1"/>
        <v>WELL</v>
      </c>
      <c r="AB159" s="14" t="s">
        <v>602</v>
      </c>
    </row>
    <row r="160" spans="1:28" ht="30" customHeight="1" x14ac:dyDescent="0.55000000000000004">
      <c r="A160" s="245" t="s">
        <v>603</v>
      </c>
      <c r="B160" s="246" t="s">
        <v>604</v>
      </c>
      <c r="C160" s="247">
        <v>0.11083899999999999</v>
      </c>
      <c r="D160" s="248">
        <f t="shared" si="4"/>
        <v>1.1083899999999999E-3</v>
      </c>
      <c r="E160" s="69">
        <f t="shared" ca="1" si="5"/>
        <v>4.4507927316164063E-2</v>
      </c>
      <c r="F160" s="249" t="s">
        <v>37</v>
      </c>
      <c r="G160" s="220"/>
      <c r="H160" s="220"/>
      <c r="I160" s="220"/>
      <c r="J160" s="250" t="str" cm="1">
        <f t="array" aca="1" ref="J160" ca="1">IFERROR(INDEX(_xlfn.ANCHORARRAY($S$12),ROW()-12+1),"")</f>
        <v>APH</v>
      </c>
      <c r="K160" s="70">
        <f ca="1">IF(Tabla16[[#This Row],[Ticker]]="",0,SUMIF(Tablaholdings[Ticker],Tabla16[[#This Row],[Ticker]],Tablaholdings[Peso Real en Portafolio])/100)</f>
        <v>9.6319332487833798E-4</v>
      </c>
      <c r="L160" s="220"/>
      <c r="M160" s="220"/>
      <c r="N160" s="220"/>
      <c r="O160" s="220"/>
      <c r="P160" s="220"/>
      <c r="Q160" s="220"/>
      <c r="S160" s="227" t="str">
        <f ca="1"/>
        <v>APH</v>
      </c>
      <c r="AB160" s="14" t="s">
        <v>605</v>
      </c>
    </row>
    <row r="161" spans="1:28" ht="30" customHeight="1" x14ac:dyDescent="0.55000000000000004">
      <c r="A161" s="251" t="s">
        <v>606</v>
      </c>
      <c r="B161" s="252" t="s">
        <v>607</v>
      </c>
      <c r="C161" s="140">
        <v>5.4850007200000002E-2</v>
      </c>
      <c r="D161" s="248">
        <f t="shared" si="4"/>
        <v>5.4850007199999998E-4</v>
      </c>
      <c r="E161" s="69">
        <f t="shared" ca="1" si="5"/>
        <v>1.6362239486595577E-2</v>
      </c>
      <c r="F161" s="249" t="s">
        <v>39</v>
      </c>
      <c r="G161" s="220"/>
      <c r="H161" s="220"/>
      <c r="I161" s="220"/>
      <c r="J161" s="250" t="str" cm="1">
        <f t="array" aca="1" ref="J161" ca="1">IFERROR(INDEX(_xlfn.ANCHORARRAY($S$12),ROW()-12+1),"")</f>
        <v>TRGP</v>
      </c>
      <c r="K161" s="70">
        <f ca="1">IF(Tabla16[[#This Row],[Ticker]]="",0,SUMIF(Tablaholdings[Ticker],Tabla16[[#This Row],[Ticker]],Tablaholdings[Peso Real en Portafolio])/100)</f>
        <v>9.6247236384694175E-4</v>
      </c>
      <c r="L161" s="220"/>
      <c r="M161" s="220"/>
      <c r="N161" s="220"/>
      <c r="O161" s="220"/>
      <c r="P161" s="220"/>
      <c r="Q161" s="220"/>
      <c r="S161" s="227" t="str">
        <f ca="1"/>
        <v>TRGP</v>
      </c>
      <c r="AB161" s="14" t="s">
        <v>608</v>
      </c>
    </row>
    <row r="162" spans="1:28" ht="30" customHeight="1" x14ac:dyDescent="0.55000000000000004">
      <c r="A162" s="245" t="s">
        <v>609</v>
      </c>
      <c r="B162" s="246" t="s">
        <v>610</v>
      </c>
      <c r="C162" s="247">
        <v>1.7436E-2</v>
      </c>
      <c r="D162" s="248">
        <f t="shared" si="4"/>
        <v>1.7436E-4</v>
      </c>
      <c r="E162" s="69">
        <f t="shared" ca="1" si="5"/>
        <v>7.0015086809213064E-3</v>
      </c>
      <c r="F162" s="249" t="s">
        <v>37</v>
      </c>
      <c r="G162" s="220"/>
      <c r="H162" s="220"/>
      <c r="I162" s="220"/>
      <c r="J162" s="250" t="str" cm="1">
        <f t="array" aca="1" ref="J162" ca="1">IFERROR(INDEX(_xlfn.ANCHORARRAY($S$12),ROW()-12+1),"")</f>
        <v>SCHW</v>
      </c>
      <c r="K162" s="70">
        <f ca="1">IF(Tabla16[[#This Row],[Ticker]]="",0,SUMIF(Tablaholdings[Ticker],Tabla16[[#This Row],[Ticker]],Tablaholdings[Peso Real en Portafolio])/100)</f>
        <v>9.5735471876336924E-4</v>
      </c>
      <c r="L162" s="220"/>
      <c r="M162" s="220"/>
      <c r="N162" s="220"/>
      <c r="O162" s="220"/>
      <c r="P162" s="220"/>
      <c r="Q162" s="220"/>
      <c r="S162" s="227" t="str">
        <f ca="1"/>
        <v>SCHW</v>
      </c>
      <c r="AB162" s="14" t="s">
        <v>611</v>
      </c>
    </row>
    <row r="163" spans="1:28" ht="30" customHeight="1" x14ac:dyDescent="0.55000000000000004">
      <c r="A163" s="251" t="s">
        <v>612</v>
      </c>
      <c r="B163" s="252" t="s">
        <v>613</v>
      </c>
      <c r="C163" s="140">
        <v>2.3224607111000002</v>
      </c>
      <c r="D163" s="248">
        <f t="shared" si="4"/>
        <v>2.3224607111000002E-2</v>
      </c>
      <c r="E163" s="69">
        <f t="shared" ca="1" si="5"/>
        <v>0.69705511956083888</v>
      </c>
      <c r="F163" s="249" t="s">
        <v>38</v>
      </c>
      <c r="G163" s="220"/>
      <c r="H163" s="220"/>
      <c r="I163" s="220"/>
      <c r="J163" s="250" t="str" cm="1">
        <f t="array" aca="1" ref="J163" ca="1">IFERROR(INDEX(_xlfn.ANCHORARRAY($S$12),ROW()-12+1),"")</f>
        <v>ABNB</v>
      </c>
      <c r="K163" s="70">
        <f ca="1">IF(Tabla16[[#This Row],[Ticker]]="",0,SUMIF(Tablaholdings[Ticker],Tabla16[[#This Row],[Ticker]],Tablaholdings[Peso Real en Portafolio])/100)</f>
        <v>9.5472201500915144E-4</v>
      </c>
      <c r="L163" s="220"/>
      <c r="M163" s="220"/>
      <c r="N163" s="220"/>
      <c r="O163" s="220"/>
      <c r="P163" s="220"/>
      <c r="Q163" s="220"/>
      <c r="S163" s="227" t="str">
        <f ca="1"/>
        <v>ABNB</v>
      </c>
      <c r="AB163" s="14" t="s">
        <v>614</v>
      </c>
    </row>
    <row r="164" spans="1:28" ht="30" customHeight="1" x14ac:dyDescent="0.55000000000000004">
      <c r="A164" s="245" t="s">
        <v>612</v>
      </c>
      <c r="B164" s="246" t="s">
        <v>613</v>
      </c>
      <c r="C164" s="247">
        <v>0.140067</v>
      </c>
      <c r="D164" s="248">
        <f t="shared" si="4"/>
        <v>1.4006699999999999E-3</v>
      </c>
      <c r="E164" s="69">
        <f t="shared" ca="1" si="5"/>
        <v>5.6244569649610263E-2</v>
      </c>
      <c r="F164" s="249" t="s">
        <v>37</v>
      </c>
      <c r="G164" s="220"/>
      <c r="H164" s="220"/>
      <c r="I164" s="220"/>
      <c r="J164" s="250" t="str" cm="1">
        <f t="array" aca="1" ref="J164" ca="1">IFERROR(INDEX(_xlfn.ANCHORARRAY($S$12),ROW()-12+1),"")</f>
        <v>DASH</v>
      </c>
      <c r="K164" s="70">
        <f ca="1">IF(Tabla16[[#This Row],[Ticker]]="",0,SUMIF(Tablaholdings[Ticker],Tabla16[[#This Row],[Ticker]],Tablaholdings[Peso Real en Portafolio])/100)</f>
        <v>9.5459278636420984E-4</v>
      </c>
      <c r="L164" s="220"/>
      <c r="M164" s="220"/>
      <c r="N164" s="220"/>
      <c r="O164" s="220"/>
      <c r="P164" s="220"/>
      <c r="Q164" s="220"/>
      <c r="S164" s="227" t="str">
        <f ca="1"/>
        <v>DASH</v>
      </c>
      <c r="AB164" s="14" t="s">
        <v>615</v>
      </c>
    </row>
    <row r="165" spans="1:28" ht="30" customHeight="1" x14ac:dyDescent="0.55000000000000004">
      <c r="A165" s="245" t="s">
        <v>616</v>
      </c>
      <c r="B165" s="246" t="s">
        <v>617</v>
      </c>
      <c r="C165" s="247">
        <v>0.167877</v>
      </c>
      <c r="D165" s="248">
        <f t="shared" si="4"/>
        <v>1.67877E-3</v>
      </c>
      <c r="E165" s="69">
        <f t="shared" ca="1" si="5"/>
        <v>6.7411807342683303E-2</v>
      </c>
      <c r="F165" s="249" t="s">
        <v>37</v>
      </c>
      <c r="G165" s="220"/>
      <c r="H165" s="220"/>
      <c r="I165" s="220"/>
      <c r="J165" s="250" t="str" cm="1">
        <f t="array" aca="1" ref="J165" ca="1">IFERROR(INDEX(_xlfn.ANCHORARRAY($S$12),ROW()-12+1),"")</f>
        <v>GWW</v>
      </c>
      <c r="K165" s="70">
        <f ca="1">IF(Tabla16[[#This Row],[Ticker]]="",0,SUMIF(Tablaholdings[Ticker],Tabla16[[#This Row],[Ticker]],Tablaholdings[Peso Real en Portafolio])/100)</f>
        <v>9.4134404343181695E-4</v>
      </c>
      <c r="L165" s="220"/>
      <c r="M165" s="220"/>
      <c r="N165" s="220"/>
      <c r="O165" s="220"/>
      <c r="P165" s="220"/>
      <c r="Q165" s="220"/>
      <c r="S165" s="227" t="str">
        <f ca="1"/>
        <v>GWW</v>
      </c>
      <c r="AB165" s="14" t="s">
        <v>618</v>
      </c>
    </row>
    <row r="166" spans="1:28" ht="30" customHeight="1" x14ac:dyDescent="0.55000000000000004">
      <c r="A166" s="245" t="s">
        <v>619</v>
      </c>
      <c r="B166" s="246" t="s">
        <v>620</v>
      </c>
      <c r="C166" s="247">
        <v>6.5408999999999995E-2</v>
      </c>
      <c r="D166" s="248">
        <f t="shared" si="4"/>
        <v>6.5408999999999997E-4</v>
      </c>
      <c r="E166" s="69">
        <f t="shared" ca="1" si="5"/>
        <v>2.6265294867537377E-2</v>
      </c>
      <c r="F166" s="249" t="s">
        <v>37</v>
      </c>
      <c r="G166" s="220"/>
      <c r="H166" s="220"/>
      <c r="I166" s="220"/>
      <c r="J166" s="250" t="str" cm="1">
        <f t="array" aca="1" ref="J166" ca="1">IFERROR(INDEX(_xlfn.ANCHORARRAY($S$12),ROW()-12+1),"")</f>
        <v>FNF</v>
      </c>
      <c r="K166" s="70">
        <f ca="1">IF(Tabla16[[#This Row],[Ticker]]="",0,SUMIF(Tablaholdings[Ticker],Tabla16[[#This Row],[Ticker]],Tablaholdings[Peso Real en Portafolio])/100)</f>
        <v>9.4039510390589605E-4</v>
      </c>
      <c r="L166" s="220"/>
      <c r="M166" s="220"/>
      <c r="N166" s="220"/>
      <c r="O166" s="220"/>
      <c r="P166" s="220"/>
      <c r="Q166" s="220"/>
      <c r="S166" s="227" t="str">
        <f ca="1"/>
        <v>FNF</v>
      </c>
      <c r="AB166" s="14" t="s">
        <v>621</v>
      </c>
    </row>
    <row r="167" spans="1:28" ht="30" customHeight="1" x14ac:dyDescent="0.55000000000000004">
      <c r="A167" s="245" t="s">
        <v>622</v>
      </c>
      <c r="B167" s="246" t="s">
        <v>623</v>
      </c>
      <c r="C167" s="247">
        <v>0.15349099999999999</v>
      </c>
      <c r="D167" s="248">
        <f t="shared" si="4"/>
        <v>1.5349099999999998E-3</v>
      </c>
      <c r="E167" s="69">
        <f t="shared" ca="1" si="5"/>
        <v>6.1635040659743755E-2</v>
      </c>
      <c r="F167" s="249" t="s">
        <v>37</v>
      </c>
      <c r="G167" s="220"/>
      <c r="H167" s="220"/>
      <c r="I167" s="220"/>
      <c r="J167" s="253" t="str" cm="1">
        <f t="array" aca="1" ref="J167" ca="1">IFERROR(INDEX(_xlfn.ANCHORARRAY($S$12),ROW()-12+1),"")</f>
        <v>AZO</v>
      </c>
      <c r="K167" s="70">
        <f ca="1">IF(Tabla16[[#This Row],[Ticker]]="",0,SUMIF(Tablaholdings[Ticker],Tabla16[[#This Row],[Ticker]],Tablaholdings[Peso Real en Portafolio])/100)</f>
        <v>9.3973560802570327E-4</v>
      </c>
      <c r="L167" s="220"/>
      <c r="M167" s="220"/>
      <c r="N167" s="220"/>
      <c r="O167" s="220"/>
      <c r="P167" s="220"/>
      <c r="Q167" s="220"/>
      <c r="S167" s="227" t="str">
        <f ca="1"/>
        <v>AZO</v>
      </c>
      <c r="AB167" s="14" t="s">
        <v>624</v>
      </c>
    </row>
    <row r="168" spans="1:28" ht="30" customHeight="1" x14ac:dyDescent="0.55000000000000004">
      <c r="A168" s="245" t="s">
        <v>625</v>
      </c>
      <c r="B168" s="246" t="s">
        <v>626</v>
      </c>
      <c r="C168" s="247">
        <v>3.4916999999999997E-2</v>
      </c>
      <c r="D168" s="248">
        <f t="shared" si="4"/>
        <v>3.4916999999999999E-4</v>
      </c>
      <c r="E168" s="69">
        <f t="shared" ca="1" si="5"/>
        <v>1.4021087325747261E-2</v>
      </c>
      <c r="F168" s="249" t="s">
        <v>37</v>
      </c>
      <c r="G168" s="220"/>
      <c r="H168" s="220"/>
      <c r="I168" s="220"/>
      <c r="J168" s="250" t="str" cm="1">
        <f t="array" aca="1" ref="J168" ca="1">IFERROR(INDEX(_xlfn.ANCHORARRAY($S$12),ROW()-12+1),"")</f>
        <v>PFE</v>
      </c>
      <c r="K168" s="70">
        <f ca="1">IF(Tabla16[[#This Row],[Ticker]]="",0,SUMIF(Tablaholdings[Ticker],Tabla16[[#This Row],[Ticker]],Tablaholdings[Peso Real en Portafolio])/100)</f>
        <v>9.2833837228003732E-4</v>
      </c>
      <c r="L168" s="220"/>
      <c r="M168" s="220"/>
      <c r="N168" s="220"/>
      <c r="O168" s="220"/>
      <c r="P168" s="220"/>
      <c r="Q168" s="220"/>
      <c r="S168" s="227" t="str">
        <f ca="1"/>
        <v>PFE</v>
      </c>
      <c r="AB168" s="14" t="s">
        <v>627</v>
      </c>
    </row>
    <row r="169" spans="1:28" ht="30" customHeight="1" x14ac:dyDescent="0.55000000000000004">
      <c r="A169" s="251" t="s">
        <v>628</v>
      </c>
      <c r="B169" s="252" t="s">
        <v>629</v>
      </c>
      <c r="C169" s="140">
        <v>2.4018344399999999E-2</v>
      </c>
      <c r="D169" s="248">
        <f t="shared" si="4"/>
        <v>2.40183444E-4</v>
      </c>
      <c r="E169" s="69">
        <f t="shared" ca="1" si="5"/>
        <v>7.2087806899716056E-3</v>
      </c>
      <c r="F169" s="249" t="s">
        <v>38</v>
      </c>
      <c r="G169" s="220"/>
      <c r="H169" s="220"/>
      <c r="I169" s="220"/>
      <c r="J169" s="250" t="str" cm="1">
        <f t="array" aca="1" ref="J169" ca="1">IFERROR(INDEX(_xlfn.ANCHORARRAY($S$12),ROW()-12+1),"")</f>
        <v>BBY</v>
      </c>
      <c r="K169" s="70">
        <f ca="1">IF(Tabla16[[#This Row],[Ticker]]="",0,SUMIF(Tablaholdings[Ticker],Tabla16[[#This Row],[Ticker]],Tablaholdings[Peso Real en Portafolio])/100)</f>
        <v>9.2021639916981066E-4</v>
      </c>
      <c r="L169" s="220"/>
      <c r="M169" s="220"/>
      <c r="N169" s="220"/>
      <c r="O169" s="220"/>
      <c r="P169" s="220"/>
      <c r="Q169" s="220"/>
      <c r="S169" s="227" t="str">
        <f ca="1"/>
        <v>BBY</v>
      </c>
      <c r="AB169" s="14" t="s">
        <v>630</v>
      </c>
    </row>
    <row r="170" spans="1:28" ht="30" customHeight="1" x14ac:dyDescent="0.55000000000000004">
      <c r="A170" s="245" t="s">
        <v>631</v>
      </c>
      <c r="B170" s="246" t="s">
        <v>632</v>
      </c>
      <c r="C170" s="247">
        <v>4.3061000000000002E-2</v>
      </c>
      <c r="D170" s="248">
        <f t="shared" si="4"/>
        <v>4.3061E-4</v>
      </c>
      <c r="E170" s="69">
        <f t="shared" ca="1" si="5"/>
        <v>1.729134923773528E-2</v>
      </c>
      <c r="F170" s="249" t="s">
        <v>37</v>
      </c>
      <c r="G170" s="220"/>
      <c r="H170" s="220"/>
      <c r="I170" s="220"/>
      <c r="J170" s="250" t="str" cm="1">
        <f t="array" aca="1" ref="J170" ca="1">IFERROR(INDEX(_xlfn.ANCHORARRAY($S$12),ROW()-12+1),"")</f>
        <v>DE</v>
      </c>
      <c r="K170" s="70">
        <f ca="1">IF(Tabla16[[#This Row],[Ticker]]="",0,SUMIF(Tablaholdings[Ticker],Tabla16[[#This Row],[Ticker]],Tablaholdings[Peso Real en Portafolio])/100)</f>
        <v>9.2009846873951741E-4</v>
      </c>
      <c r="L170" s="220"/>
      <c r="M170" s="220"/>
      <c r="N170" s="220"/>
      <c r="O170" s="220"/>
      <c r="P170" s="220"/>
      <c r="Q170" s="220"/>
      <c r="S170" s="227" t="str">
        <f ca="1"/>
        <v>DE</v>
      </c>
      <c r="AB170" s="14" t="s">
        <v>633</v>
      </c>
    </row>
    <row r="171" spans="1:28" ht="30" customHeight="1" x14ac:dyDescent="0.55000000000000004">
      <c r="A171" s="251" t="s">
        <v>634</v>
      </c>
      <c r="B171" s="252" t="s">
        <v>635</v>
      </c>
      <c r="C171" s="140">
        <v>3.1939225799999998E-2</v>
      </c>
      <c r="D171" s="248">
        <f t="shared" si="4"/>
        <v>3.1939225799999999E-4</v>
      </c>
      <c r="E171" s="69">
        <f t="shared" ca="1" si="5"/>
        <v>9.5277519226296872E-3</v>
      </c>
      <c r="F171" s="249" t="s">
        <v>39</v>
      </c>
      <c r="G171" s="220"/>
      <c r="H171" s="220"/>
      <c r="I171" s="220"/>
      <c r="J171" s="250" t="str" cm="1">
        <f t="array" aca="1" ref="J171" ca="1">IFERROR(INDEX(_xlfn.ANCHORARRAY($S$12),ROW()-12+1),"")</f>
        <v>HON</v>
      </c>
      <c r="K171" s="70">
        <f ca="1">IF(Tabla16[[#This Row],[Ticker]]="",0,SUMIF(Tablaholdings[Ticker],Tabla16[[#This Row],[Ticker]],Tablaholdings[Peso Real en Portafolio])/100)</f>
        <v>8.7017316624473956E-4</v>
      </c>
      <c r="L171" s="220"/>
      <c r="M171" s="220"/>
      <c r="N171" s="220"/>
      <c r="O171" s="220"/>
      <c r="P171" s="220"/>
      <c r="Q171" s="220"/>
      <c r="S171" s="227" t="str">
        <f ca="1"/>
        <v>HON</v>
      </c>
      <c r="AB171" s="14" t="s">
        <v>636</v>
      </c>
    </row>
    <row r="172" spans="1:28" ht="30" customHeight="1" x14ac:dyDescent="0.55000000000000004">
      <c r="A172" s="245" t="s">
        <v>637</v>
      </c>
      <c r="B172" s="246" t="s">
        <v>638</v>
      </c>
      <c r="C172" s="247">
        <v>4.3103000000000002E-2</v>
      </c>
      <c r="D172" s="248">
        <f t="shared" si="4"/>
        <v>4.3103E-4</v>
      </c>
      <c r="E172" s="69">
        <f t="shared" ca="1" si="5"/>
        <v>1.7308214537379622E-2</v>
      </c>
      <c r="F172" s="249" t="s">
        <v>37</v>
      </c>
      <c r="G172" s="220"/>
      <c r="H172" s="220"/>
      <c r="I172" s="220"/>
      <c r="J172" s="250" t="str" cm="1">
        <f t="array" aca="1" ref="J172" ca="1">IFERROR(INDEX(_xlfn.ANCHORARRAY($S$12),ROW()-12+1),"")</f>
        <v>SWKS</v>
      </c>
      <c r="K172" s="70">
        <f ca="1">IF(Tabla16[[#This Row],[Ticker]]="",0,SUMIF(Tablaholdings[Ticker],Tabla16[[#This Row],[Ticker]],Tablaholdings[Peso Real en Portafolio])/100)</f>
        <v>8.4213696395548667E-4</v>
      </c>
      <c r="L172" s="220"/>
      <c r="M172" s="220"/>
      <c r="N172" s="220"/>
      <c r="O172" s="220"/>
      <c r="P172" s="220"/>
      <c r="Q172" s="220"/>
      <c r="S172" s="227" t="str">
        <f ca="1"/>
        <v>SWKS</v>
      </c>
      <c r="AB172" s="14" t="s">
        <v>639</v>
      </c>
    </row>
    <row r="173" spans="1:28" ht="30" customHeight="1" x14ac:dyDescent="0.55000000000000004">
      <c r="A173" s="251" t="s">
        <v>640</v>
      </c>
      <c r="B173" s="252" t="s">
        <v>641</v>
      </c>
      <c r="C173" s="140">
        <v>5.1289356299999998E-2</v>
      </c>
      <c r="D173" s="248">
        <f t="shared" si="4"/>
        <v>5.1289356299999997E-4</v>
      </c>
      <c r="E173" s="69">
        <f t="shared" ca="1" si="5"/>
        <v>1.5393805465480524E-2</v>
      </c>
      <c r="F173" s="249" t="s">
        <v>38</v>
      </c>
      <c r="G173" s="220"/>
      <c r="H173" s="220"/>
      <c r="I173" s="220"/>
      <c r="J173" s="250" t="str" cm="1">
        <f t="array" aca="1" ref="J173" ca="1">IFERROR(INDEX(_xlfn.ANCHORARRAY($S$12),ROW()-12+1),"")</f>
        <v>CVNA</v>
      </c>
      <c r="K173" s="70">
        <f ca="1">IF(Tabla16[[#This Row],[Ticker]]="",0,SUMIF(Tablaholdings[Ticker],Tabla16[[#This Row],[Ticker]],Tablaholdings[Peso Real en Portafolio])/100)</f>
        <v>8.3076148106015434E-4</v>
      </c>
      <c r="L173" s="220"/>
      <c r="M173" s="220"/>
      <c r="N173" s="220"/>
      <c r="O173" s="220"/>
      <c r="P173" s="220"/>
      <c r="Q173" s="220"/>
      <c r="S173" s="227" t="str">
        <f ca="1"/>
        <v>CVNA</v>
      </c>
      <c r="AB173" s="14" t="s">
        <v>642</v>
      </c>
    </row>
    <row r="174" spans="1:28" ht="30" customHeight="1" x14ac:dyDescent="0.55000000000000004">
      <c r="A174" s="245" t="s">
        <v>643</v>
      </c>
      <c r="B174" s="246" t="s">
        <v>644</v>
      </c>
      <c r="C174" s="247">
        <v>0.17766799999999999</v>
      </c>
      <c r="D174" s="248">
        <f t="shared" si="4"/>
        <v>1.7766799999999999E-3</v>
      </c>
      <c r="E174" s="69">
        <f t="shared" ca="1" si="5"/>
        <v>7.1343429933581476E-2</v>
      </c>
      <c r="F174" s="249" t="s">
        <v>37</v>
      </c>
      <c r="G174" s="220"/>
      <c r="H174" s="220"/>
      <c r="I174" s="220"/>
      <c r="J174" s="250" t="str" cm="1">
        <f t="array" aca="1" ref="J174" ca="1">IFERROR(INDEX(_xlfn.ANCHORARRAY($S$12),ROW()-12+1),"")</f>
        <v>PLD</v>
      </c>
      <c r="K174" s="70">
        <f ca="1">IF(Tabla16[[#This Row],[Ticker]]="",0,SUMIF(Tablaholdings[Ticker],Tabla16[[#This Row],[Ticker]],Tablaholdings[Peso Real en Portafolio])/100)</f>
        <v>8.2991730221271612E-4</v>
      </c>
      <c r="L174" s="220"/>
      <c r="M174" s="220"/>
      <c r="N174" s="220"/>
      <c r="O174" s="220"/>
      <c r="P174" s="220"/>
      <c r="Q174" s="220"/>
      <c r="S174" s="227" t="str">
        <f ca="1"/>
        <v>PLD</v>
      </c>
      <c r="AB174" s="14" t="s">
        <v>645</v>
      </c>
    </row>
    <row r="175" spans="1:28" ht="30" customHeight="1" x14ac:dyDescent="0.55000000000000004">
      <c r="A175" s="251" t="s">
        <v>646</v>
      </c>
      <c r="B175" s="252" t="s">
        <v>647</v>
      </c>
      <c r="C175" s="140">
        <v>0.26835509899999999</v>
      </c>
      <c r="D175" s="248">
        <f t="shared" si="4"/>
        <v>2.6835509899999998E-3</v>
      </c>
      <c r="E175" s="69">
        <f t="shared" ca="1" si="5"/>
        <v>8.0052685887105318E-2</v>
      </c>
      <c r="F175" s="249" t="s">
        <v>39</v>
      </c>
      <c r="G175" s="220"/>
      <c r="H175" s="220"/>
      <c r="I175" s="220"/>
      <c r="J175" s="250" t="str" cm="1">
        <f t="array" aca="1" ref="J175" ca="1">IFERROR(INDEX(_xlfn.ANCHORARRAY($S$12),ROW()-12+1),"")</f>
        <v>DINO</v>
      </c>
      <c r="K175" s="70">
        <f ca="1">IF(Tabla16[[#This Row],[Ticker]]="",0,SUMIF(Tablaholdings[Ticker],Tabla16[[#This Row],[Ticker]],Tablaholdings[Peso Real en Portafolio])/100)</f>
        <v>8.2972867578281042E-4</v>
      </c>
      <c r="L175" s="220"/>
      <c r="M175" s="220"/>
      <c r="N175" s="220"/>
      <c r="O175" s="220"/>
      <c r="P175" s="220"/>
      <c r="Q175" s="220"/>
      <c r="S175" s="227" t="str">
        <f ca="1"/>
        <v>DINO</v>
      </c>
      <c r="AB175" s="14" t="s">
        <v>648</v>
      </c>
    </row>
    <row r="176" spans="1:28" ht="30" customHeight="1" x14ac:dyDescent="0.55000000000000004">
      <c r="A176" s="245" t="s">
        <v>646</v>
      </c>
      <c r="B176" s="246" t="s">
        <v>647</v>
      </c>
      <c r="C176" s="247">
        <v>0.118552</v>
      </c>
      <c r="D176" s="248">
        <f t="shared" si="4"/>
        <v>1.18552E-3</v>
      </c>
      <c r="E176" s="69">
        <f t="shared" ca="1" si="5"/>
        <v>4.7605119129420892E-2</v>
      </c>
      <c r="F176" s="249" t="s">
        <v>37</v>
      </c>
      <c r="G176" s="220"/>
      <c r="H176" s="220"/>
      <c r="I176" s="220"/>
      <c r="J176" s="253" t="str" cm="1">
        <f t="array" aca="1" ref="J176" ca="1">IFERROR(INDEX(_xlfn.ANCHORARRAY($S$12),ROW()-12+1),"")</f>
        <v>ADSK</v>
      </c>
      <c r="K176" s="70">
        <f ca="1">IF(Tabla16[[#This Row],[Ticker]]="",0,SUMIF(Tablaholdings[Ticker],Tabla16[[#This Row],[Ticker]],Tablaholdings[Peso Real en Portafolio])/100)</f>
        <v>8.2887394801426121E-4</v>
      </c>
      <c r="L176" s="220"/>
      <c r="M176" s="220"/>
      <c r="N176" s="220"/>
      <c r="O176" s="220"/>
      <c r="P176" s="220"/>
      <c r="Q176" s="220"/>
      <c r="S176" s="227" t="str">
        <f ca="1"/>
        <v>ADSK</v>
      </c>
      <c r="AB176" s="14" t="s">
        <v>649</v>
      </c>
    </row>
    <row r="177" spans="1:28" ht="30" customHeight="1" x14ac:dyDescent="0.55000000000000004">
      <c r="A177" s="251" t="s">
        <v>650</v>
      </c>
      <c r="B177" s="252" t="s">
        <v>651</v>
      </c>
      <c r="C177" s="140">
        <v>0.1665298875</v>
      </c>
      <c r="D177" s="248">
        <f t="shared" si="4"/>
        <v>1.6652988749999999E-3</v>
      </c>
      <c r="E177" s="69">
        <f t="shared" ca="1" si="5"/>
        <v>4.9677329868259693E-2</v>
      </c>
      <c r="F177" s="249" t="s">
        <v>39</v>
      </c>
      <c r="G177" s="220"/>
      <c r="H177" s="220"/>
      <c r="I177" s="220"/>
      <c r="J177" s="250" t="str" cm="1">
        <f t="array" aca="1" ref="J177" ca="1">IFERROR(INDEX(_xlfn.ANCHORARRAY($S$12),ROW()-12+1),"")</f>
        <v>NEM</v>
      </c>
      <c r="K177" s="70">
        <f ca="1">IF(Tabla16[[#This Row],[Ticker]]="",0,SUMIF(Tablaholdings[Ticker],Tabla16[[#This Row],[Ticker]],Tablaholdings[Peso Real en Portafolio])/100)</f>
        <v>8.1606366321915192E-4</v>
      </c>
      <c r="L177" s="220"/>
      <c r="M177" s="220"/>
      <c r="N177" s="220"/>
      <c r="O177" s="220"/>
      <c r="P177" s="220"/>
      <c r="Q177" s="220"/>
      <c r="S177" s="227" t="str">
        <f ca="1"/>
        <v>NEM</v>
      </c>
      <c r="AB177" s="14" t="s">
        <v>652</v>
      </c>
    </row>
    <row r="178" spans="1:28" ht="30" customHeight="1" x14ac:dyDescent="0.55000000000000004">
      <c r="A178" s="245" t="s">
        <v>650</v>
      </c>
      <c r="B178" s="246" t="s">
        <v>651</v>
      </c>
      <c r="C178" s="247">
        <v>7.0452000000000001E-2</v>
      </c>
      <c r="D178" s="248">
        <f t="shared" si="4"/>
        <v>7.0452000000000004E-4</v>
      </c>
      <c r="E178" s="69">
        <f t="shared" ca="1" si="5"/>
        <v>2.8290335489118367E-2</v>
      </c>
      <c r="F178" s="249" t="s">
        <v>37</v>
      </c>
      <c r="G178" s="220"/>
      <c r="H178" s="220"/>
      <c r="I178" s="220"/>
      <c r="J178" s="250" t="str" cm="1">
        <f t="array" aca="1" ref="J178" ca="1">IFERROR(INDEX(_xlfn.ANCHORARRAY($S$12),ROW()-12+1),"")</f>
        <v>CVS</v>
      </c>
      <c r="K178" s="70">
        <f ca="1">IF(Tabla16[[#This Row],[Ticker]]="",0,SUMIF(Tablaholdings[Ticker],Tabla16[[#This Row],[Ticker]],Tablaholdings[Peso Real en Portafolio])/100)</f>
        <v>7.851519782995992E-4</v>
      </c>
      <c r="L178" s="220"/>
      <c r="M178" s="220"/>
      <c r="N178" s="220"/>
      <c r="O178" s="220"/>
      <c r="P178" s="220"/>
      <c r="Q178" s="220"/>
      <c r="S178" s="227" t="str">
        <f ca="1"/>
        <v>CVS</v>
      </c>
      <c r="AB178" s="14" t="s">
        <v>653</v>
      </c>
    </row>
    <row r="179" spans="1:28" ht="30" customHeight="1" x14ac:dyDescent="0.55000000000000004">
      <c r="A179" s="251" t="s">
        <v>654</v>
      </c>
      <c r="B179" s="252" t="s">
        <v>655</v>
      </c>
      <c r="C179" s="140">
        <v>0.2214107216</v>
      </c>
      <c r="D179" s="248">
        <f t="shared" si="4"/>
        <v>2.2141072159999999E-3</v>
      </c>
      <c r="E179" s="69">
        <f t="shared" ca="1" si="5"/>
        <v>6.6453428589472605E-2</v>
      </c>
      <c r="F179" s="249" t="s">
        <v>38</v>
      </c>
      <c r="G179" s="220"/>
      <c r="H179" s="220"/>
      <c r="I179" s="220"/>
      <c r="J179" s="250" t="str" cm="1">
        <f t="array" aca="1" ref="J179" ca="1">IFERROR(INDEX(_xlfn.ANCHORARRAY($S$12),ROW()-12+1),"")</f>
        <v>COIN</v>
      </c>
      <c r="K179" s="70">
        <f ca="1">IF(Tabla16[[#This Row],[Ticker]]="",0,SUMIF(Tablaholdings[Ticker],Tabla16[[#This Row],[Ticker]],Tablaholdings[Peso Real en Portafolio])/100)</f>
        <v>7.7967665357378058E-4</v>
      </c>
      <c r="L179" s="220"/>
      <c r="M179" s="220"/>
      <c r="N179" s="220"/>
      <c r="O179" s="220"/>
      <c r="P179" s="220"/>
      <c r="Q179" s="220"/>
      <c r="S179" s="227" t="str">
        <f ca="1"/>
        <v>COIN</v>
      </c>
      <c r="AB179" s="14" t="s">
        <v>656</v>
      </c>
    </row>
    <row r="180" spans="1:28" ht="30" customHeight="1" x14ac:dyDescent="0.55000000000000004">
      <c r="A180" s="245" t="s">
        <v>657</v>
      </c>
      <c r="B180" s="246" t="s">
        <v>658</v>
      </c>
      <c r="C180" s="247">
        <v>1.8175E-2</v>
      </c>
      <c r="D180" s="248">
        <f t="shared" si="4"/>
        <v>1.8175E-4</v>
      </c>
      <c r="E180" s="69">
        <f t="shared" ca="1" si="5"/>
        <v>7.2982576437109854E-3</v>
      </c>
      <c r="F180" s="249" t="s">
        <v>37</v>
      </c>
      <c r="G180" s="220"/>
      <c r="H180" s="220"/>
      <c r="I180" s="220"/>
      <c r="J180" s="250" t="str" cm="1">
        <f t="array" aca="1" ref="J180" ca="1">IFERROR(INDEX(_xlfn.ANCHORARRAY($S$12),ROW()-12+1),"")</f>
        <v>LOW</v>
      </c>
      <c r="K180" s="70">
        <f ca="1">IF(Tabla16[[#This Row],[Ticker]]="",0,SUMIF(Tablaholdings[Ticker],Tabla16[[#This Row],[Ticker]],Tablaholdings[Peso Real en Portafolio])/100)</f>
        <v>7.7777943302650239E-4</v>
      </c>
      <c r="L180" s="220"/>
      <c r="M180" s="220"/>
      <c r="N180" s="220"/>
      <c r="O180" s="220"/>
      <c r="P180" s="220"/>
      <c r="Q180" s="220"/>
      <c r="S180" s="227" t="str">
        <f ca="1"/>
        <v>LOW</v>
      </c>
      <c r="AB180" s="14" t="s">
        <v>659</v>
      </c>
    </row>
    <row r="181" spans="1:28" ht="30" customHeight="1" x14ac:dyDescent="0.55000000000000004">
      <c r="A181" s="251" t="s">
        <v>660</v>
      </c>
      <c r="B181" s="252" t="s">
        <v>661</v>
      </c>
      <c r="C181" s="140">
        <v>3.7479426602000001</v>
      </c>
      <c r="D181" s="248">
        <f t="shared" si="4"/>
        <v>3.7479426602000002E-2</v>
      </c>
      <c r="E181" s="69">
        <f t="shared" ca="1" si="5"/>
        <v>1.1248942152719974</v>
      </c>
      <c r="F181" s="249" t="s">
        <v>38</v>
      </c>
      <c r="G181" s="220"/>
      <c r="H181" s="220"/>
      <c r="I181" s="220"/>
      <c r="J181" s="250" t="str" cm="1">
        <f t="array" aca="1" ref="J181" ca="1">IFERROR(INDEX(_xlfn.ANCHORARRAY($S$12),ROW()-12+1),"")</f>
        <v>SBUX</v>
      </c>
      <c r="K181" s="70">
        <f ca="1">IF(Tabla16[[#This Row],[Ticker]]="",0,SUMIF(Tablaholdings[Ticker],Tabla16[[#This Row],[Ticker]],Tablaholdings[Peso Real en Portafolio])/100)</f>
        <v>7.5930791436841689E-4</v>
      </c>
      <c r="L181" s="220"/>
      <c r="M181" s="220"/>
      <c r="N181" s="220"/>
      <c r="O181" s="220"/>
      <c r="P181" s="220"/>
      <c r="Q181" s="220"/>
      <c r="S181" s="227" t="str">
        <f ca="1"/>
        <v>SBUX</v>
      </c>
      <c r="AB181" s="14" t="s">
        <v>662</v>
      </c>
    </row>
    <row r="182" spans="1:28" ht="30" customHeight="1" x14ac:dyDescent="0.55000000000000004">
      <c r="A182" s="245" t="s">
        <v>660</v>
      </c>
      <c r="B182" s="246" t="s">
        <v>661</v>
      </c>
      <c r="C182" s="247">
        <v>0.22511700000000001</v>
      </c>
      <c r="D182" s="248">
        <f t="shared" si="4"/>
        <v>2.2511700000000003E-3</v>
      </c>
      <c r="E182" s="69">
        <f t="shared" ca="1" si="5"/>
        <v>9.0396801429396753E-2</v>
      </c>
      <c r="F182" s="249" t="s">
        <v>37</v>
      </c>
      <c r="G182" s="220"/>
      <c r="H182" s="220"/>
      <c r="I182" s="220"/>
      <c r="J182" s="250" t="str" cm="1">
        <f t="array" aca="1" ref="J182" ca="1">IFERROR(INDEX(_xlfn.ANCHORARRAY($S$12),ROW()-12+1),"")</f>
        <v>CB</v>
      </c>
      <c r="K182" s="70">
        <f ca="1">IF(Tabla16[[#This Row],[Ticker]]="",0,SUMIF(Tablaholdings[Ticker],Tabla16[[#This Row],[Ticker]],Tablaholdings[Peso Real en Portafolio])/100)</f>
        <v>7.2254959223882651E-4</v>
      </c>
      <c r="L182" s="220"/>
      <c r="M182" s="220"/>
      <c r="N182" s="220"/>
      <c r="O182" s="220"/>
      <c r="P182" s="220"/>
      <c r="Q182" s="220"/>
      <c r="S182" s="227" t="str">
        <f ca="1"/>
        <v>CB</v>
      </c>
      <c r="AB182" s="14" t="s">
        <v>663</v>
      </c>
    </row>
    <row r="183" spans="1:28" ht="30" customHeight="1" x14ac:dyDescent="0.55000000000000004">
      <c r="A183" s="245" t="s">
        <v>664</v>
      </c>
      <c r="B183" s="246" t="s">
        <v>665</v>
      </c>
      <c r="C183" s="247">
        <v>7.7784000000000006E-2</v>
      </c>
      <c r="D183" s="248">
        <f t="shared" si="4"/>
        <v>7.7784000000000002E-4</v>
      </c>
      <c r="E183" s="69">
        <f t="shared" ca="1" si="5"/>
        <v>3.1234534941315836E-2</v>
      </c>
      <c r="F183" s="249" t="s">
        <v>37</v>
      </c>
      <c r="G183" s="220"/>
      <c r="H183" s="220"/>
      <c r="I183" s="220"/>
      <c r="J183" s="250" t="str" cm="1">
        <f t="array" aca="1" ref="J183" ca="1">IFERROR(INDEX(_xlfn.ANCHORARRAY($S$12),ROW()-12+1),"")</f>
        <v>COF</v>
      </c>
      <c r="K183" s="70">
        <f ca="1">IF(Tabla16[[#This Row],[Ticker]]="",0,SUMIF(Tablaholdings[Ticker],Tabla16[[#This Row],[Ticker]],Tablaholdings[Peso Real en Portafolio])/100)</f>
        <v>7.134342993358148E-4</v>
      </c>
      <c r="L183" s="220"/>
      <c r="M183" s="220"/>
      <c r="N183" s="220"/>
      <c r="O183" s="220"/>
      <c r="P183" s="220"/>
      <c r="Q183" s="220"/>
      <c r="S183" s="227" t="str">
        <f ca="1"/>
        <v>COF</v>
      </c>
      <c r="AB183" s="14" t="s">
        <v>666</v>
      </c>
    </row>
    <row r="184" spans="1:28" ht="30" customHeight="1" x14ac:dyDescent="0.55000000000000004">
      <c r="A184" s="251" t="s">
        <v>667</v>
      </c>
      <c r="B184" s="252" t="s">
        <v>668</v>
      </c>
      <c r="C184" s="140">
        <v>1.6349324252999999</v>
      </c>
      <c r="D184" s="248">
        <f t="shared" si="4"/>
        <v>1.6349324252999998E-2</v>
      </c>
      <c r="E184" s="69">
        <f t="shared" ca="1" si="5"/>
        <v>0.48771471970124247</v>
      </c>
      <c r="F184" s="249" t="s">
        <v>39</v>
      </c>
      <c r="G184" s="220"/>
      <c r="H184" s="220"/>
      <c r="I184" s="220"/>
      <c r="J184" s="250" t="str" cm="1">
        <f t="array" aca="1" ref="J184" ca="1">IFERROR(INDEX(_xlfn.ANCHORARRAY($S$12),ROW()-12+1),"")</f>
        <v>IDXX</v>
      </c>
      <c r="K184" s="70">
        <f ca="1">IF(Tabla16[[#This Row],[Ticker]]="",0,SUMIF(Tablaholdings[Ticker],Tabla16[[#This Row],[Ticker]],Tablaholdings[Peso Real en Portafolio])/100)</f>
        <v>7.1086058252938899E-4</v>
      </c>
      <c r="L184" s="220"/>
      <c r="M184" s="220"/>
      <c r="N184" s="220"/>
      <c r="O184" s="220"/>
      <c r="P184" s="220"/>
      <c r="Q184" s="220"/>
      <c r="S184" s="227" t="str">
        <f ca="1"/>
        <v>IDXX</v>
      </c>
      <c r="AB184" s="14" t="s">
        <v>669</v>
      </c>
    </row>
    <row r="185" spans="1:28" ht="30" customHeight="1" x14ac:dyDescent="0.55000000000000004">
      <c r="A185" s="245" t="s">
        <v>667</v>
      </c>
      <c r="B185" s="246" t="s">
        <v>668</v>
      </c>
      <c r="C185" s="247">
        <v>0.71810700000000005</v>
      </c>
      <c r="D185" s="248">
        <f t="shared" si="4"/>
        <v>7.1810700000000003E-3</v>
      </c>
      <c r="E185" s="69">
        <f t="shared" ca="1" si="5"/>
        <v>0.28835927932612737</v>
      </c>
      <c r="F185" s="249" t="s">
        <v>37</v>
      </c>
      <c r="G185" s="220"/>
      <c r="H185" s="220"/>
      <c r="I185" s="220"/>
      <c r="J185" s="250" t="str" cm="1">
        <f t="array" aca="1" ref="J185" ca="1">IFERROR(INDEX(_xlfn.ANCHORARRAY($S$12),ROW()-12+1),"")</f>
        <v>AFG</v>
      </c>
      <c r="K185" s="70">
        <f ca="1">IF(Tabla16[[#This Row],[Ticker]]="",0,SUMIF(Tablaholdings[Ticker],Tabla16[[#This Row],[Ticker]],Tablaholdings[Peso Real en Portafolio])/100)</f>
        <v>7.0889062447540519E-4</v>
      </c>
      <c r="L185" s="220"/>
      <c r="M185" s="220"/>
      <c r="N185" s="220"/>
      <c r="O185" s="220"/>
      <c r="P185" s="220"/>
      <c r="Q185" s="220"/>
      <c r="S185" s="227" t="str">
        <f ca="1"/>
        <v>AFG</v>
      </c>
      <c r="AB185" s="14" t="s">
        <v>670</v>
      </c>
    </row>
    <row r="186" spans="1:28" ht="30" customHeight="1" x14ac:dyDescent="0.55000000000000004">
      <c r="A186" s="245" t="s">
        <v>671</v>
      </c>
      <c r="B186" s="246" t="s">
        <v>672</v>
      </c>
      <c r="C186" s="247">
        <v>3.6409999999999998E-2</v>
      </c>
      <c r="D186" s="248">
        <f t="shared" si="4"/>
        <v>3.6409999999999996E-4</v>
      </c>
      <c r="E186" s="69">
        <f t="shared" ca="1" si="5"/>
        <v>1.4620608572628169E-2</v>
      </c>
      <c r="F186" s="249" t="s">
        <v>37</v>
      </c>
      <c r="G186" s="220"/>
      <c r="H186" s="220"/>
      <c r="I186" s="220"/>
      <c r="J186" s="250" t="str" cm="1">
        <f t="array" aca="1" ref="J186" ca="1">IFERROR(INDEX(_xlfn.ANCHORARRAY($S$12),ROW()-12+1),"")</f>
        <v>MSCI</v>
      </c>
      <c r="K186" s="70">
        <f ca="1">IF(Tabla16[[#This Row],[Ticker]]="",0,SUMIF(Tablaholdings[Ticker],Tabla16[[#This Row],[Ticker]],Tablaholdings[Peso Real en Portafolio])/100)</f>
        <v>7.0810160677317201E-4</v>
      </c>
      <c r="L186" s="220"/>
      <c r="M186" s="220"/>
      <c r="N186" s="220"/>
      <c r="O186" s="220"/>
      <c r="P186" s="220"/>
      <c r="Q186" s="220"/>
      <c r="S186" s="227" t="str">
        <f ca="1"/>
        <v>MSCI</v>
      </c>
      <c r="AB186" s="14" t="s">
        <v>673</v>
      </c>
    </row>
    <row r="187" spans="1:28" ht="30" customHeight="1" x14ac:dyDescent="0.55000000000000004">
      <c r="A187" s="245" t="s">
        <v>674</v>
      </c>
      <c r="B187" s="246" t="s">
        <v>675</v>
      </c>
      <c r="C187" s="247">
        <v>6.2449999999999997E-3</v>
      </c>
      <c r="D187" s="248">
        <f t="shared" si="4"/>
        <v>6.245E-5</v>
      </c>
      <c r="E187" s="69">
        <f t="shared" ca="1" si="5"/>
        <v>2.5077094352118348E-3</v>
      </c>
      <c r="F187" s="249" t="s">
        <v>37</v>
      </c>
      <c r="G187" s="220"/>
      <c r="H187" s="220"/>
      <c r="I187" s="220"/>
      <c r="J187" s="253" t="str" cm="1">
        <f t="array" aca="1" ref="J187" ca="1">IFERROR(INDEX(_xlfn.ANCHORARRAY($S$12),ROW()-12+1),"")</f>
        <v>EME</v>
      </c>
      <c r="K187" s="70">
        <f ca="1">IF(Tabla16[[#This Row],[Ticker]]="",0,SUMIF(Tablaholdings[Ticker],Tabla16[[#This Row],[Ticker]],Tablaholdings[Peso Real en Portafolio])/100)</f>
        <v>7.0179408587323522E-4</v>
      </c>
      <c r="L187" s="220"/>
      <c r="M187" s="220"/>
      <c r="N187" s="220"/>
      <c r="O187" s="220"/>
      <c r="P187" s="220"/>
      <c r="Q187" s="220"/>
      <c r="S187" s="227" t="str">
        <f ca="1"/>
        <v>EME</v>
      </c>
      <c r="AB187" s="14" t="s">
        <v>676</v>
      </c>
    </row>
    <row r="188" spans="1:28" ht="30" customHeight="1" x14ac:dyDescent="0.55000000000000004">
      <c r="A188" s="251" t="s">
        <v>677</v>
      </c>
      <c r="B188" s="252" t="s">
        <v>678</v>
      </c>
      <c r="C188" s="140">
        <v>2.31388028E-2</v>
      </c>
      <c r="D188" s="248">
        <f t="shared" si="4"/>
        <v>2.3138802800000001E-4</v>
      </c>
      <c r="E188" s="69">
        <f t="shared" ca="1" si="5"/>
        <v>6.9447981940712333E-3</v>
      </c>
      <c r="F188" s="249" t="s">
        <v>38</v>
      </c>
      <c r="G188" s="220"/>
      <c r="H188" s="220"/>
      <c r="I188" s="220"/>
      <c r="J188" s="250" t="str" cm="1">
        <f t="array" aca="1" ref="J188" ca="1">IFERROR(INDEX(_xlfn.ANCHORARRAY($S$12),ROW()-12+1),"")</f>
        <v>TTWO</v>
      </c>
      <c r="K188" s="70">
        <f ca="1">IF(Tabla16[[#This Row],[Ticker]]="",0,SUMIF(Tablaholdings[Ticker],Tabla16[[#This Row],[Ticker]],Tablaholdings[Peso Real en Portafolio])/100)</f>
        <v>6.924340425329416E-4</v>
      </c>
      <c r="L188" s="220"/>
      <c r="M188" s="220"/>
      <c r="N188" s="220"/>
      <c r="O188" s="220"/>
      <c r="P188" s="220"/>
      <c r="Q188" s="220"/>
      <c r="S188" s="227" t="str">
        <f ca="1"/>
        <v>TTWO</v>
      </c>
      <c r="AB188" s="14" t="s">
        <v>679</v>
      </c>
    </row>
    <row r="189" spans="1:28" ht="30" customHeight="1" x14ac:dyDescent="0.55000000000000004">
      <c r="A189" s="251" t="s">
        <v>680</v>
      </c>
      <c r="B189" s="252" t="s">
        <v>681</v>
      </c>
      <c r="C189" s="140">
        <v>7.91291888E-2</v>
      </c>
      <c r="D189" s="248">
        <f t="shared" si="4"/>
        <v>7.9129188799999999E-4</v>
      </c>
      <c r="E189" s="69">
        <f t="shared" ca="1" si="5"/>
        <v>2.360493286363026E-2</v>
      </c>
      <c r="F189" s="249" t="s">
        <v>39</v>
      </c>
      <c r="G189" s="220"/>
      <c r="H189" s="220"/>
      <c r="I189" s="220"/>
      <c r="J189" s="250" t="str" cm="1">
        <f t="array" aca="1" ref="J189" ca="1">IFERROR(INDEX(_xlfn.ANCHORARRAY($S$12),ROW()-12+1),"")</f>
        <v>HWM</v>
      </c>
      <c r="K189" s="70">
        <f ca="1">IF(Tabla16[[#This Row],[Ticker]]="",0,SUMIF(Tablaholdings[Ticker],Tabla16[[#This Row],[Ticker]],Tablaholdings[Peso Real en Portafolio])/100)</f>
        <v>6.8871057316672061E-4</v>
      </c>
      <c r="L189" s="220"/>
      <c r="M189" s="220"/>
      <c r="N189" s="220"/>
      <c r="O189" s="220"/>
      <c r="P189" s="220"/>
      <c r="Q189" s="220"/>
      <c r="S189" s="227" t="str">
        <f ca="1"/>
        <v>HWM</v>
      </c>
      <c r="AB189" s="14" t="s">
        <v>682</v>
      </c>
    </row>
    <row r="190" spans="1:28" ht="30" customHeight="1" x14ac:dyDescent="0.55000000000000004">
      <c r="A190" s="245" t="s">
        <v>683</v>
      </c>
      <c r="B190" s="246" t="s">
        <v>684</v>
      </c>
      <c r="C190" s="247">
        <v>4.5968000000000002E-2</v>
      </c>
      <c r="D190" s="248">
        <f t="shared" si="4"/>
        <v>4.5968000000000002E-4</v>
      </c>
      <c r="E190" s="69">
        <f t="shared" ca="1" si="5"/>
        <v>1.8458668905975605E-2</v>
      </c>
      <c r="F190" s="249" t="s">
        <v>37</v>
      </c>
      <c r="G190" s="220"/>
      <c r="H190" s="220"/>
      <c r="I190" s="220"/>
      <c r="J190" s="253" t="str" cm="1">
        <f t="array" aca="1" ref="J190" ca="1">IFERROR(INDEX(_xlfn.ANCHORARRAY($S$12),ROW()-12+1),"")</f>
        <v>ORI</v>
      </c>
      <c r="K190" s="70">
        <f ca="1">IF(Tabla16[[#This Row],[Ticker]]="",0,SUMIF(Tablaholdings[Ticker],Tabla16[[#This Row],[Ticker]],Tablaholdings[Peso Real en Portafolio])/100)</f>
        <v>6.87280944540694E-4</v>
      </c>
      <c r="L190" s="220"/>
      <c r="M190" s="220"/>
      <c r="N190" s="220"/>
      <c r="O190" s="220"/>
      <c r="P190" s="220"/>
      <c r="Q190" s="220"/>
      <c r="S190" s="227" t="str">
        <f ca="1"/>
        <v>ORI</v>
      </c>
      <c r="AB190" s="14" t="s">
        <v>685</v>
      </c>
    </row>
    <row r="191" spans="1:28" ht="30" customHeight="1" x14ac:dyDescent="0.55000000000000004">
      <c r="A191" s="245" t="s">
        <v>686</v>
      </c>
      <c r="B191" s="246" t="s">
        <v>687</v>
      </c>
      <c r="C191" s="247">
        <v>1.7023E-2</v>
      </c>
      <c r="D191" s="248">
        <f t="shared" si="4"/>
        <v>1.7023E-4</v>
      </c>
      <c r="E191" s="69">
        <f t="shared" ca="1" si="5"/>
        <v>6.8356665677519728E-3</v>
      </c>
      <c r="F191" s="249" t="s">
        <v>37</v>
      </c>
      <c r="G191" s="220"/>
      <c r="H191" s="220"/>
      <c r="I191" s="220"/>
      <c r="J191" s="253" t="str" cm="1">
        <f t="array" aca="1" ref="J191" ca="1">IFERROR(INDEX(_xlfn.ANCHORARRAY($S$12),ROW()-12+1),"")</f>
        <v>BAH</v>
      </c>
      <c r="K191" s="70">
        <f ca="1">IF(Tabla16[[#This Row],[Ticker]]="",0,SUMIF(Tablaholdings[Ticker],Tabla16[[#This Row],[Ticker]],Tablaholdings[Peso Real en Portafolio])/100)</f>
        <v>6.8240862120794556E-4</v>
      </c>
      <c r="L191" s="220"/>
      <c r="M191" s="220"/>
      <c r="N191" s="220"/>
      <c r="O191" s="220"/>
      <c r="P191" s="220"/>
      <c r="Q191" s="220"/>
      <c r="S191" s="227" t="str">
        <f ca="1"/>
        <v>BAH</v>
      </c>
      <c r="AB191" s="14" t="s">
        <v>688</v>
      </c>
    </row>
    <row r="192" spans="1:28" ht="30" customHeight="1" x14ac:dyDescent="0.55000000000000004">
      <c r="A192" s="251" t="s">
        <v>689</v>
      </c>
      <c r="B192" s="252" t="s">
        <v>690</v>
      </c>
      <c r="C192" s="140">
        <v>2.4162187200000001E-2</v>
      </c>
      <c r="D192" s="248">
        <f t="shared" si="4"/>
        <v>2.4162187200000001E-4</v>
      </c>
      <c r="E192" s="69">
        <f t="shared" ca="1" si="5"/>
        <v>7.207792918691799E-3</v>
      </c>
      <c r="F192" s="249" t="s">
        <v>39</v>
      </c>
      <c r="G192" s="220"/>
      <c r="H192" s="220"/>
      <c r="I192" s="220"/>
      <c r="J192" s="250" t="str" cm="1">
        <f t="array" aca="1" ref="J192" ca="1">IFERROR(INDEX(_xlfn.ANCHORARRAY($S$12),ROW()-12+1),"")</f>
        <v>CME</v>
      </c>
      <c r="K192" s="70">
        <f ca="1">IF(Tabla16[[#This Row],[Ticker]]="",0,SUMIF(Tablaholdings[Ticker],Tabla16[[#This Row],[Ticker]],Tablaholdings[Peso Real en Portafolio])/100)</f>
        <v>6.74118073426833E-4</v>
      </c>
      <c r="L192" s="220"/>
      <c r="M192" s="220"/>
      <c r="N192" s="220"/>
      <c r="O192" s="220"/>
      <c r="P192" s="220"/>
      <c r="Q192" s="220"/>
      <c r="S192" s="227" t="str">
        <f ca="1"/>
        <v>CME</v>
      </c>
      <c r="AB192" s="14" t="s">
        <v>691</v>
      </c>
    </row>
    <row r="193" spans="1:28" ht="30" customHeight="1" x14ac:dyDescent="0.55000000000000004">
      <c r="A193" s="251" t="s">
        <v>692</v>
      </c>
      <c r="B193" s="252" t="s">
        <v>693</v>
      </c>
      <c r="C193" s="140">
        <v>0.1036976408</v>
      </c>
      <c r="D193" s="248">
        <f t="shared" si="4"/>
        <v>1.0369764080000001E-3</v>
      </c>
      <c r="E193" s="69">
        <f t="shared" ca="1" si="5"/>
        <v>3.0933918144764885E-2</v>
      </c>
      <c r="F193" s="249" t="s">
        <v>39</v>
      </c>
      <c r="G193" s="220"/>
      <c r="H193" s="220"/>
      <c r="I193" s="220"/>
      <c r="J193" s="253" t="str" cm="1">
        <f t="array" aca="1" ref="J193" ca="1">IFERROR(INDEX(_xlfn.ANCHORARRAY($S$12),ROW()-12+1),"")</f>
        <v>NET</v>
      </c>
      <c r="K193" s="70">
        <f ca="1">IF(Tabla16[[#This Row],[Ticker]]="",0,SUMIF(Tablaholdings[Ticker],Tabla16[[#This Row],[Ticker]],Tablaholdings[Peso Real en Portafolio])/100)</f>
        <v>6.691708923908966E-4</v>
      </c>
      <c r="L193" s="220"/>
      <c r="M193" s="220"/>
      <c r="N193" s="220"/>
      <c r="O193" s="220"/>
      <c r="P193" s="220"/>
      <c r="Q193" s="220"/>
      <c r="S193" s="227" t="str">
        <f ca="1"/>
        <v>NET</v>
      </c>
      <c r="AB193" s="14" t="s">
        <v>694</v>
      </c>
    </row>
    <row r="194" spans="1:28" ht="30" customHeight="1" x14ac:dyDescent="0.55000000000000004">
      <c r="A194" s="245" t="s">
        <v>695</v>
      </c>
      <c r="B194" s="246" t="s">
        <v>696</v>
      </c>
      <c r="C194" s="247">
        <v>0.114176</v>
      </c>
      <c r="D194" s="248">
        <f t="shared" si="4"/>
        <v>1.1417599999999999E-3</v>
      </c>
      <c r="E194" s="69">
        <f t="shared" ca="1" si="5"/>
        <v>4.5847915528382147E-2</v>
      </c>
      <c r="F194" s="249" t="s">
        <v>37</v>
      </c>
      <c r="G194" s="220"/>
      <c r="H194" s="220"/>
      <c r="I194" s="220"/>
      <c r="J194" s="253" t="str" cm="1">
        <f t="array" aca="1" ref="J194" ca="1">IFERROR(INDEX(_xlfn.ANCHORARRAY($S$12),ROW()-12+1),"")</f>
        <v>COLB</v>
      </c>
      <c r="K194" s="70">
        <f ca="1">IF(Tabla16[[#This Row],[Ticker]]="",0,SUMIF(Tablaholdings[Ticker],Tabla16[[#This Row],[Ticker]],Tablaholdings[Peso Real en Portafolio])/100)</f>
        <v>6.6453428589472602E-4</v>
      </c>
      <c r="L194" s="220"/>
      <c r="M194" s="220"/>
      <c r="N194" s="220"/>
      <c r="O194" s="220"/>
      <c r="P194" s="220"/>
      <c r="Q194" s="220"/>
      <c r="S194" s="227" t="str">
        <f ca="1"/>
        <v>COLB</v>
      </c>
      <c r="AB194" s="14" t="s">
        <v>697</v>
      </c>
    </row>
    <row r="195" spans="1:28" ht="30" customHeight="1" x14ac:dyDescent="0.55000000000000004">
      <c r="A195" s="245" t="s">
        <v>698</v>
      </c>
      <c r="B195" s="246" t="s">
        <v>699</v>
      </c>
      <c r="C195" s="247">
        <v>1.2592000000000001E-2</v>
      </c>
      <c r="D195" s="248">
        <f t="shared" si="4"/>
        <v>1.2592000000000001E-4</v>
      </c>
      <c r="E195" s="69">
        <f t="shared" ca="1" si="5"/>
        <v>5.056377455274208E-3</v>
      </c>
      <c r="F195" s="249" t="s">
        <v>37</v>
      </c>
      <c r="G195" s="220"/>
      <c r="H195" s="220"/>
      <c r="I195" s="220"/>
      <c r="J195" s="253" t="str" cm="1">
        <f t="array" aca="1" ref="J195" ca="1">IFERROR(INDEX(_xlfn.ANCHORARRAY($S$12),ROW()-12+1),"")</f>
        <v>RKLB</v>
      </c>
      <c r="K195" s="70">
        <f ca="1">IF(Tabla16[[#This Row],[Ticker]]="",0,SUMIF(Tablaholdings[Ticker],Tabla16[[#This Row],[Ticker]],Tablaholdings[Peso Real en Portafolio])/100)</f>
        <v>6.592073915059599E-4</v>
      </c>
      <c r="L195" s="220"/>
      <c r="M195" s="220"/>
      <c r="N195" s="220"/>
      <c r="O195" s="220"/>
      <c r="P195" s="220"/>
      <c r="Q195" s="220"/>
      <c r="S195" s="227" t="str">
        <f ca="1"/>
        <v>RKLB</v>
      </c>
      <c r="AB195" s="14" t="s">
        <v>700</v>
      </c>
    </row>
    <row r="196" spans="1:28" ht="30" customHeight="1" x14ac:dyDescent="0.55000000000000004">
      <c r="A196" s="251" t="s">
        <v>701</v>
      </c>
      <c r="B196" s="252" t="s">
        <v>702</v>
      </c>
      <c r="C196" s="140">
        <v>0.55417872130000001</v>
      </c>
      <c r="D196" s="248">
        <f t="shared" si="4"/>
        <v>5.5417872129999999E-3</v>
      </c>
      <c r="E196" s="69">
        <f t="shared" ca="1" si="5"/>
        <v>0.1653163858889321</v>
      </c>
      <c r="F196" s="249" t="s">
        <v>39</v>
      </c>
      <c r="G196" s="220"/>
      <c r="H196" s="220"/>
      <c r="I196" s="220"/>
      <c r="J196" s="250" t="str" cm="1">
        <f t="array" aca="1" ref="J196" ca="1">IFERROR(INDEX(_xlfn.ANCHORARRAY($S$12),ROW()-12+1),"")</f>
        <v>SYK</v>
      </c>
      <c r="K196" s="70">
        <f ca="1">IF(Tabla16[[#This Row],[Ticker]]="",0,SUMIF(Tablaholdings[Ticker],Tabla16[[#This Row],[Ticker]],Tablaholdings[Peso Real en Portafolio])/100)</f>
        <v>6.5495989614037077E-4</v>
      </c>
      <c r="L196" s="220"/>
      <c r="M196" s="220"/>
      <c r="N196" s="220"/>
      <c r="O196" s="220"/>
      <c r="P196" s="220"/>
      <c r="Q196" s="220"/>
      <c r="S196" s="227" t="str">
        <f ca="1"/>
        <v>SYK</v>
      </c>
      <c r="AB196" s="14" t="s">
        <v>703</v>
      </c>
    </row>
    <row r="197" spans="1:28" ht="30" customHeight="1" x14ac:dyDescent="0.55000000000000004">
      <c r="A197" s="245" t="s">
        <v>701</v>
      </c>
      <c r="B197" s="246" t="s">
        <v>702</v>
      </c>
      <c r="C197" s="247">
        <v>0.243282</v>
      </c>
      <c r="D197" s="248">
        <f t="shared" si="4"/>
        <v>2.43282E-3</v>
      </c>
      <c r="E197" s="69">
        <f t="shared" ca="1" si="5"/>
        <v>9.7691043525573368E-2</v>
      </c>
      <c r="F197" s="249" t="s">
        <v>37</v>
      </c>
      <c r="G197" s="220"/>
      <c r="H197" s="220"/>
      <c r="I197" s="220"/>
      <c r="J197" s="250" t="str" cm="1">
        <f t="array" aca="1" ref="J197" ca="1">IFERROR(INDEX(_xlfn.ANCHORARRAY($S$12),ROW()-12+1),"")</f>
        <v>XYZ</v>
      </c>
      <c r="K197" s="70">
        <f ca="1">IF(Tabla16[[#This Row],[Ticker]]="",0,SUMIF(Tablaholdings[Ticker],Tabla16[[#This Row],[Ticker]],Tablaholdings[Peso Real en Portafolio])/100)</f>
        <v>6.5215781582619392E-4</v>
      </c>
      <c r="L197" s="220"/>
      <c r="M197" s="220"/>
      <c r="N197" s="220"/>
      <c r="O197" s="220"/>
      <c r="P197" s="220"/>
      <c r="Q197" s="220"/>
      <c r="S197" s="227" t="str">
        <f ca="1"/>
        <v>XYZ</v>
      </c>
      <c r="AB197" s="14" t="s">
        <v>704</v>
      </c>
    </row>
    <row r="198" spans="1:28" ht="30" customHeight="1" x14ac:dyDescent="0.55000000000000004">
      <c r="A198" s="251" t="s">
        <v>705</v>
      </c>
      <c r="B198" s="252" t="s">
        <v>706</v>
      </c>
      <c r="C198" s="140">
        <v>7.5452224100000007E-2</v>
      </c>
      <c r="D198" s="248">
        <f t="shared" si="4"/>
        <v>7.545222410000001E-4</v>
      </c>
      <c r="E198" s="69">
        <f t="shared" ca="1" si="5"/>
        <v>2.2508061959205693E-2</v>
      </c>
      <c r="F198" s="249" t="s">
        <v>39</v>
      </c>
      <c r="G198" s="220"/>
      <c r="H198" s="220"/>
      <c r="I198" s="220"/>
      <c r="J198" s="250" t="str" cm="1">
        <f t="array" aca="1" ref="J198" ca="1">IFERROR(INDEX(_xlfn.ANCHORARRAY($S$12),ROW()-12+1),"")</f>
        <v>IBKR</v>
      </c>
      <c r="K198" s="70">
        <f ca="1">IF(Tabla16[[#This Row],[Ticker]]="",0,SUMIF(Tablaholdings[Ticker],Tabla16[[#This Row],[Ticker]],Tablaholdings[Peso Real en Portafolio])/100)</f>
        <v>6.5206030731313261E-4</v>
      </c>
      <c r="L198" s="220"/>
      <c r="M198" s="220"/>
      <c r="N198" s="220"/>
      <c r="O198" s="220"/>
      <c r="P198" s="220"/>
      <c r="Q198" s="220"/>
      <c r="S198" s="227" t="str">
        <f ca="1"/>
        <v>IBKR</v>
      </c>
      <c r="AB198" s="14" t="s">
        <v>707</v>
      </c>
    </row>
    <row r="199" spans="1:28" ht="30" customHeight="1" x14ac:dyDescent="0.55000000000000004">
      <c r="A199" s="251" t="s">
        <v>708</v>
      </c>
      <c r="B199" s="252" t="s">
        <v>709</v>
      </c>
      <c r="C199" s="140">
        <v>0.51703734420000003</v>
      </c>
      <c r="D199" s="248">
        <f t="shared" si="4"/>
        <v>5.1703734420000006E-3</v>
      </c>
      <c r="E199" s="69">
        <f t="shared" ca="1" si="5"/>
        <v>0.15423678648694414</v>
      </c>
      <c r="F199" s="249" t="s">
        <v>39</v>
      </c>
      <c r="G199" s="220"/>
      <c r="H199" s="220"/>
      <c r="I199" s="220"/>
      <c r="J199" s="250" t="str" cm="1">
        <f t="array" aca="1" ref="J199" ca="1">IFERROR(INDEX(_xlfn.ANCHORARRAY($S$12),ROW()-12+1),"")</f>
        <v>SO</v>
      </c>
      <c r="K199" s="70">
        <f ca="1">IF(Tabla16[[#This Row],[Ticker]]="",0,SUMIF(Tablaholdings[Ticker],Tabla16[[#This Row],[Ticker]],Tablaholdings[Peso Real en Portafolio])/100)</f>
        <v>6.4472426547527084E-4</v>
      </c>
      <c r="L199" s="220"/>
      <c r="M199" s="220"/>
      <c r="N199" s="220"/>
      <c r="O199" s="220"/>
      <c r="P199" s="220"/>
      <c r="Q199" s="220"/>
      <c r="S199" s="227" t="str">
        <f ca="1"/>
        <v>SO</v>
      </c>
      <c r="AB199" s="14" t="s">
        <v>710</v>
      </c>
    </row>
    <row r="200" spans="1:28" ht="30" customHeight="1" x14ac:dyDescent="0.55000000000000004">
      <c r="A200" s="245" t="s">
        <v>708</v>
      </c>
      <c r="B200" s="246" t="s">
        <v>711</v>
      </c>
      <c r="C200" s="247">
        <v>0.22215599999999999</v>
      </c>
      <c r="D200" s="248">
        <f t="shared" si="4"/>
        <v>2.22156E-3</v>
      </c>
      <c r="E200" s="69">
        <f t="shared" ca="1" si="5"/>
        <v>8.9207797804470843E-2</v>
      </c>
      <c r="F200" s="249" t="s">
        <v>37</v>
      </c>
      <c r="G200" s="220"/>
      <c r="H200" s="220"/>
      <c r="I200" s="220"/>
      <c r="J200" s="253" t="str" cm="1">
        <f t="array" aca="1" ref="J200" ca="1">IFERROR(INDEX(_xlfn.ANCHORARRAY($S$12),ROW()-12+1),"")</f>
        <v>ALV</v>
      </c>
      <c r="K200" s="70">
        <f ca="1">IF(Tabla16[[#This Row],[Ticker]]="",0,SUMIF(Tablaholdings[Ticker],Tabla16[[#This Row],[Ticker]],Tablaholdings[Peso Real en Portafolio])/100)</f>
        <v>6.4021668934410424E-4</v>
      </c>
      <c r="L200" s="220"/>
      <c r="M200" s="220"/>
      <c r="N200" s="220"/>
      <c r="O200" s="220"/>
      <c r="P200" s="220"/>
      <c r="Q200" s="220"/>
      <c r="S200" s="227" t="str">
        <f ca="1"/>
        <v>ALV</v>
      </c>
      <c r="AB200" s="14" t="s">
        <v>712</v>
      </c>
    </row>
    <row r="201" spans="1:28" ht="30" customHeight="1" x14ac:dyDescent="0.55000000000000004">
      <c r="A201" s="245" t="s">
        <v>713</v>
      </c>
      <c r="B201" s="246" t="s">
        <v>714</v>
      </c>
      <c r="C201" s="247">
        <v>0.63040499999999999</v>
      </c>
      <c r="D201" s="248">
        <f t="shared" si="4"/>
        <v>6.3040500000000003E-3</v>
      </c>
      <c r="E201" s="69">
        <f t="shared" ca="1" si="5"/>
        <v>0.25314212434022687</v>
      </c>
      <c r="F201" s="249" t="s">
        <v>37</v>
      </c>
      <c r="G201" s="220"/>
      <c r="H201" s="220"/>
      <c r="I201" s="220"/>
      <c r="J201" s="253" t="str" cm="1">
        <f t="array" aca="1" ref="J201" ca="1">IFERROR(INDEX(_xlfn.ANCHORARRAY($S$12),ROW()-12+1),"")</f>
        <v>MSTR</v>
      </c>
      <c r="K201" s="70">
        <f ca="1">IF(Tabla16[[#This Row],[Ticker]]="",0,SUMIF(Tablaholdings[Ticker],Tabla16[[#This Row],[Ticker]],Tablaholdings[Peso Real en Portafolio])/100)</f>
        <v>6.1949913925638228E-4</v>
      </c>
      <c r="L201" s="220"/>
      <c r="M201" s="220"/>
      <c r="N201" s="220"/>
      <c r="O201" s="220"/>
      <c r="P201" s="220"/>
      <c r="Q201" s="220"/>
      <c r="S201" s="227" t="str">
        <f ca="1"/>
        <v>MSTR</v>
      </c>
      <c r="AB201" s="14" t="s">
        <v>715</v>
      </c>
    </row>
    <row r="202" spans="1:28" ht="30" customHeight="1" x14ac:dyDescent="0.55000000000000004">
      <c r="A202" s="245" t="s">
        <v>716</v>
      </c>
      <c r="B202" s="246" t="s">
        <v>717</v>
      </c>
      <c r="C202" s="247">
        <v>2.1235E-2</v>
      </c>
      <c r="D202" s="248">
        <f t="shared" si="4"/>
        <v>2.1235000000000001E-4</v>
      </c>
      <c r="E202" s="69">
        <f t="shared" ca="1" si="5"/>
        <v>8.527015189227112E-3</v>
      </c>
      <c r="F202" s="249" t="s">
        <v>37</v>
      </c>
      <c r="G202" s="220"/>
      <c r="H202" s="220"/>
      <c r="I202" s="220"/>
      <c r="J202" s="250" t="str" cm="1">
        <f t="array" aca="1" ref="J202" ca="1">IFERROR(INDEX(_xlfn.ANCHORARRAY($S$12),ROW()-12+1),"")</f>
        <v>CMI</v>
      </c>
      <c r="K202" s="70">
        <f ca="1">IF(Tabla16[[#This Row],[Ticker]]="",0,SUMIF(Tablaholdings[Ticker],Tabla16[[#This Row],[Ticker]],Tablaholdings[Peso Real en Portafolio])/100)</f>
        <v>6.1635040659743757E-4</v>
      </c>
      <c r="L202" s="220"/>
      <c r="M202" s="220"/>
      <c r="N202" s="220"/>
      <c r="O202" s="220"/>
      <c r="P202" s="220"/>
      <c r="Q202" s="220"/>
      <c r="S202" s="227" t="str">
        <f ca="1"/>
        <v>CMI</v>
      </c>
      <c r="AB202" s="14" t="s">
        <v>718</v>
      </c>
    </row>
    <row r="203" spans="1:28" ht="30" customHeight="1" x14ac:dyDescent="0.55000000000000004">
      <c r="A203" s="251" t="s">
        <v>719</v>
      </c>
      <c r="B203" s="252" t="s">
        <v>720</v>
      </c>
      <c r="C203" s="140">
        <v>4.96817087E-2</v>
      </c>
      <c r="D203" s="248">
        <f t="shared" si="4"/>
        <v>4.9681708699999996E-4</v>
      </c>
      <c r="E203" s="69">
        <f t="shared" ca="1" si="5"/>
        <v>1.4820490595171315E-2</v>
      </c>
      <c r="F203" s="249" t="s">
        <v>39</v>
      </c>
      <c r="G203" s="220"/>
      <c r="H203" s="220"/>
      <c r="I203" s="220"/>
      <c r="J203" s="250" t="str" cm="1">
        <f t="array" aca="1" ref="J203" ca="1">IFERROR(INDEX(_xlfn.ANCHORARRAY($S$12),ROW()-12+1),"")</f>
        <v>HUM</v>
      </c>
      <c r="K203" s="70">
        <f ca="1">IF(Tabla16[[#This Row],[Ticker]]="",0,SUMIF(Tablaholdings[Ticker],Tabla16[[#This Row],[Ticker]],Tablaholdings[Peso Real en Portafolio])/100)</f>
        <v>6.1423643772685877E-4</v>
      </c>
      <c r="L203" s="220"/>
      <c r="M203" s="220"/>
      <c r="N203" s="220"/>
      <c r="O203" s="220"/>
      <c r="P203" s="220"/>
      <c r="Q203" s="220"/>
      <c r="S203" s="227" t="str">
        <f ca="1"/>
        <v>HUM</v>
      </c>
      <c r="AB203" s="14" t="s">
        <v>721</v>
      </c>
    </row>
    <row r="204" spans="1:28" ht="30" customHeight="1" x14ac:dyDescent="0.55000000000000004">
      <c r="A204" s="245" t="s">
        <v>722</v>
      </c>
      <c r="B204" s="246" t="s">
        <v>723</v>
      </c>
      <c r="C204" s="247">
        <v>0.12931899999999999</v>
      </c>
      <c r="D204" s="248">
        <f t="shared" ref="D204:D267" si="6">C204/100</f>
        <v>1.2931899999999998E-3</v>
      </c>
      <c r="E204" s="69">
        <f t="shared" ref="E204:E267" ca="1" si="7">C204 * VLOOKUP(F204, $A$6:$B$8, 2, FALSE)</f>
        <v>5.1928659159673221E-2</v>
      </c>
      <c r="F204" s="249" t="s">
        <v>37</v>
      </c>
      <c r="G204" s="220"/>
      <c r="H204" s="220"/>
      <c r="I204" s="220"/>
      <c r="J204" s="250" t="str" cm="1">
        <f t="array" aca="1" ref="J204" ca="1">IFERROR(INDEX(_xlfn.ANCHORARRAY($S$12),ROW()-12+1),"")</f>
        <v>MDT</v>
      </c>
      <c r="K204" s="70">
        <f ca="1">IF(Tabla16[[#This Row],[Ticker]]="",0,SUMIF(Tablaholdings[Ticker],Tabla16[[#This Row],[Ticker]],Tablaholdings[Peso Real en Portafolio])/100)</f>
        <v>6.1410571552572677E-4</v>
      </c>
      <c r="L204" s="220"/>
      <c r="M204" s="220"/>
      <c r="N204" s="220"/>
      <c r="O204" s="220"/>
      <c r="P204" s="220"/>
      <c r="Q204" s="220"/>
      <c r="S204" s="227" t="str">
        <f ca="1"/>
        <v>MDT</v>
      </c>
      <c r="AB204" s="14" t="s">
        <v>724</v>
      </c>
    </row>
    <row r="205" spans="1:28" ht="30" customHeight="1" x14ac:dyDescent="0.55000000000000004">
      <c r="A205" s="245" t="s">
        <v>725</v>
      </c>
      <c r="B205" s="246" t="s">
        <v>726</v>
      </c>
      <c r="C205" s="247">
        <v>8.7023000000000003E-2</v>
      </c>
      <c r="D205" s="248">
        <f t="shared" si="6"/>
        <v>8.7023000000000005E-4</v>
      </c>
      <c r="E205" s="69">
        <f t="shared" ca="1" si="7"/>
        <v>3.494449930831698E-2</v>
      </c>
      <c r="F205" s="249" t="s">
        <v>37</v>
      </c>
      <c r="G205" s="220"/>
      <c r="H205" s="220"/>
      <c r="I205" s="220"/>
      <c r="J205" s="250" t="str" cm="1">
        <f t="array" aca="1" ref="J205" ca="1">IFERROR(INDEX(_xlfn.ANCHORARRAY($S$12),ROW()-12+1),"")</f>
        <v>VMC</v>
      </c>
      <c r="K205" s="70">
        <f ca="1">IF(Tabla16[[#This Row],[Ticker]]="",0,SUMIF(Tablaholdings[Ticker],Tabla16[[#This Row],[Ticker]],Tablaholdings[Peso Real en Portafolio])/100)</f>
        <v>6.1092719014027162E-4</v>
      </c>
      <c r="L205" s="220"/>
      <c r="M205" s="220"/>
      <c r="N205" s="220"/>
      <c r="O205" s="220"/>
      <c r="P205" s="220"/>
      <c r="Q205" s="220"/>
      <c r="S205" s="227" t="str">
        <f ca="1"/>
        <v>VMC</v>
      </c>
      <c r="AB205" s="14" t="s">
        <v>727</v>
      </c>
    </row>
    <row r="206" spans="1:28" ht="30" customHeight="1" x14ac:dyDescent="0.55000000000000004">
      <c r="A206" s="245" t="s">
        <v>728</v>
      </c>
      <c r="B206" s="246" t="s">
        <v>729</v>
      </c>
      <c r="C206" s="247">
        <v>3.4418999999999998E-2</v>
      </c>
      <c r="D206" s="248">
        <f t="shared" si="6"/>
        <v>3.4418999999999997E-4</v>
      </c>
      <c r="E206" s="69">
        <f t="shared" ca="1" si="7"/>
        <v>1.3821113058535813E-2</v>
      </c>
      <c r="F206" s="249" t="s">
        <v>37</v>
      </c>
      <c r="G206" s="220"/>
      <c r="H206" s="220"/>
      <c r="I206" s="220"/>
      <c r="J206" s="250" t="str" cm="1">
        <f t="array" aca="1" ref="J206" ca="1">IFERROR(INDEX(_xlfn.ANCHORARRAY($S$12),ROW()-12+1),"")</f>
        <v>FCX</v>
      </c>
      <c r="K206" s="70">
        <f ca="1">IF(Tabla16[[#This Row],[Ticker]]="",0,SUMIF(Tablaholdings[Ticker],Tabla16[[#This Row],[Ticker]],Tablaholdings[Peso Real en Portafolio])/100)</f>
        <v>6.0638783316467452E-4</v>
      </c>
      <c r="L206" s="220"/>
      <c r="M206" s="220"/>
      <c r="N206" s="220"/>
      <c r="O206" s="220"/>
      <c r="P206" s="220"/>
      <c r="Q206" s="220"/>
      <c r="S206" s="227" t="str">
        <f ca="1"/>
        <v>FCX</v>
      </c>
      <c r="AB206" s="14" t="s">
        <v>730</v>
      </c>
    </row>
    <row r="207" spans="1:28" ht="30" customHeight="1" x14ac:dyDescent="0.55000000000000004">
      <c r="A207" s="245" t="s">
        <v>731</v>
      </c>
      <c r="B207" s="246" t="s">
        <v>732</v>
      </c>
      <c r="C207" s="247">
        <v>8.7679999999999994E-2</v>
      </c>
      <c r="D207" s="248">
        <f t="shared" si="6"/>
        <v>8.7679999999999995E-4</v>
      </c>
      <c r="E207" s="69">
        <f t="shared" ca="1" si="7"/>
        <v>3.5208320781324846E-2</v>
      </c>
      <c r="F207" s="249" t="s">
        <v>37</v>
      </c>
      <c r="G207" s="220"/>
      <c r="H207" s="220"/>
      <c r="I207" s="220"/>
      <c r="J207" s="250" t="str" cm="1">
        <f t="array" aca="1" ref="J207" ca="1">IFERROR(INDEX(_xlfn.ANCHORARRAY($S$12),ROW()-12+1),"")</f>
        <v>DUK</v>
      </c>
      <c r="K207" s="70">
        <f ca="1">IF(Tabla16[[#This Row],[Ticker]]="",0,SUMIF(Tablaholdings[Ticker],Tabla16[[#This Row],[Ticker]],Tablaholdings[Peso Real en Portafolio])/100)</f>
        <v>6.0596218512603173E-4</v>
      </c>
      <c r="L207" s="220"/>
      <c r="M207" s="220"/>
      <c r="N207" s="220"/>
      <c r="O207" s="220"/>
      <c r="P207" s="220"/>
      <c r="Q207" s="220"/>
      <c r="S207" s="227" t="str">
        <f ca="1"/>
        <v>DUK</v>
      </c>
      <c r="AB207" s="14" t="s">
        <v>733</v>
      </c>
    </row>
    <row r="208" spans="1:28" ht="30" customHeight="1" x14ac:dyDescent="0.55000000000000004">
      <c r="A208" s="251" t="s">
        <v>734</v>
      </c>
      <c r="B208" s="252" t="s">
        <v>735</v>
      </c>
      <c r="C208" s="140">
        <v>6.4635810500000002E-2</v>
      </c>
      <c r="D208" s="248">
        <f t="shared" si="6"/>
        <v>6.4635810499999999E-4</v>
      </c>
      <c r="E208" s="69">
        <f t="shared" ca="1" si="7"/>
        <v>1.939956288631884E-2</v>
      </c>
      <c r="F208" s="249" t="s">
        <v>38</v>
      </c>
      <c r="G208" s="220"/>
      <c r="H208" s="220"/>
      <c r="I208" s="220"/>
      <c r="J208" s="250" t="str" cm="1">
        <f t="array" aca="1" ref="J208" ca="1">IFERROR(INDEX(_xlfn.ANCHORARRAY($S$12),ROW()-12+1),"")</f>
        <v>BK</v>
      </c>
      <c r="K208" s="70">
        <f ca="1">IF(Tabla16[[#This Row],[Ticker]]="",0,SUMIF(Tablaholdings[Ticker],Tabla16[[#This Row],[Ticker]],Tablaholdings[Peso Real en Portafolio])/100)</f>
        <v>5.8365983412016046E-4</v>
      </c>
      <c r="L208" s="220"/>
      <c r="M208" s="220"/>
      <c r="N208" s="220"/>
      <c r="O208" s="220"/>
      <c r="P208" s="220"/>
      <c r="Q208" s="220"/>
      <c r="S208" s="227" t="str">
        <f ca="1"/>
        <v>BK</v>
      </c>
      <c r="AB208" s="14" t="s">
        <v>736</v>
      </c>
    </row>
    <row r="209" spans="1:28" ht="30" customHeight="1" x14ac:dyDescent="0.55000000000000004">
      <c r="A209" s="251" t="s">
        <v>737</v>
      </c>
      <c r="B209" s="252" t="s">
        <v>738</v>
      </c>
      <c r="C209" s="140">
        <v>0.17407851590000001</v>
      </c>
      <c r="D209" s="248">
        <f t="shared" si="6"/>
        <v>1.7407851590000001E-3</v>
      </c>
      <c r="E209" s="69">
        <f t="shared" ca="1" si="7"/>
        <v>5.1929152100948783E-2</v>
      </c>
      <c r="F209" s="249" t="s">
        <v>39</v>
      </c>
      <c r="G209" s="220"/>
      <c r="H209" s="220"/>
      <c r="I209" s="220"/>
      <c r="J209" s="250" t="str" cm="1">
        <f t="array" aca="1" ref="J209" ca="1">IFERROR(INDEX(_xlfn.ANCHORARRAY($S$12),ROW()-12+1),"")</f>
        <v>MLM</v>
      </c>
      <c r="K209" s="70">
        <f ca="1">IF(Tabla16[[#This Row],[Ticker]]="",0,SUMIF(Tablaholdings[Ticker],Tabla16[[#This Row],[Ticker]],Tablaholdings[Peso Real en Portafolio])/100)</f>
        <v>5.8146781114398456E-4</v>
      </c>
      <c r="L209" s="220"/>
      <c r="M209" s="220"/>
      <c r="N209" s="220"/>
      <c r="O209" s="220"/>
      <c r="P209" s="220"/>
      <c r="Q209" s="220"/>
      <c r="S209" s="227" t="str">
        <f ca="1"/>
        <v>MLM</v>
      </c>
      <c r="AB209" s="14" t="s">
        <v>739</v>
      </c>
    </row>
    <row r="210" spans="1:28" ht="30" customHeight="1" x14ac:dyDescent="0.55000000000000004">
      <c r="A210" s="245" t="s">
        <v>737</v>
      </c>
      <c r="B210" s="246" t="s">
        <v>740</v>
      </c>
      <c r="C210" s="247">
        <v>7.7565999999999996E-2</v>
      </c>
      <c r="D210" s="248">
        <f t="shared" si="6"/>
        <v>7.7565999999999996E-4</v>
      </c>
      <c r="E210" s="69">
        <f t="shared" ca="1" si="7"/>
        <v>3.1146996005066645E-2</v>
      </c>
      <c r="F210" s="249" t="s">
        <v>37</v>
      </c>
      <c r="G210" s="220"/>
      <c r="H210" s="220"/>
      <c r="I210" s="220"/>
      <c r="J210" s="250" t="str" cm="1">
        <f t="array" aca="1" ref="J210" ca="1">IFERROR(INDEX(_xlfn.ANCHORARRAY($S$12),ROW()-12+1),"")</f>
        <v>WMB</v>
      </c>
      <c r="K210" s="70">
        <f ca="1">IF(Tabla16[[#This Row],[Ticker]]="",0,SUMIF(Tablaholdings[Ticker],Tabla16[[#This Row],[Ticker]],Tablaholdings[Peso Real en Portafolio])/100)</f>
        <v>5.8126656778967811E-4</v>
      </c>
      <c r="L210" s="220"/>
      <c r="M210" s="220"/>
      <c r="N210" s="220"/>
      <c r="O210" s="220"/>
      <c r="P210" s="220"/>
      <c r="Q210" s="220"/>
      <c r="S210" s="227" t="str">
        <f ca="1"/>
        <v>WMB</v>
      </c>
      <c r="AB210" s="14" t="s">
        <v>741</v>
      </c>
    </row>
    <row r="211" spans="1:28" ht="30" customHeight="1" x14ac:dyDescent="0.55000000000000004">
      <c r="A211" s="245" t="s">
        <v>742</v>
      </c>
      <c r="B211" s="246" t="s">
        <v>743</v>
      </c>
      <c r="C211" s="247">
        <v>0.19552800000000001</v>
      </c>
      <c r="D211" s="248">
        <f t="shared" si="6"/>
        <v>1.9552800000000002E-3</v>
      </c>
      <c r="E211" s="69">
        <f t="shared" ca="1" si="7"/>
        <v>7.8515197829959915E-2</v>
      </c>
      <c r="F211" s="249" t="s">
        <v>37</v>
      </c>
      <c r="G211" s="220"/>
      <c r="H211" s="220"/>
      <c r="I211" s="220"/>
      <c r="J211" s="250" t="str" cm="1">
        <f t="array" aca="1" ref="J211" ca="1">IFERROR(INDEX(_xlfn.ANCHORARRAY($S$12),ROW()-12+1),"")</f>
        <v>ROP</v>
      </c>
      <c r="K211" s="70">
        <f ca="1">IF(Tabla16[[#This Row],[Ticker]]="",0,SUMIF(Tablaholdings[Ticker],Tabla16[[#This Row],[Ticker]],Tablaholdings[Peso Real en Portafolio])/100)</f>
        <v>5.6726464978311235E-4</v>
      </c>
      <c r="L211" s="220"/>
      <c r="M211" s="220"/>
      <c r="N211" s="220"/>
      <c r="O211" s="220"/>
      <c r="P211" s="220"/>
      <c r="Q211" s="220"/>
      <c r="S211" s="227" t="str">
        <f ca="1"/>
        <v>ROP</v>
      </c>
      <c r="AB211" s="14" t="s">
        <v>744</v>
      </c>
    </row>
    <row r="212" spans="1:28" ht="30" customHeight="1" x14ac:dyDescent="0.55000000000000004">
      <c r="A212" s="251" t="s">
        <v>745</v>
      </c>
      <c r="B212" s="252" t="s">
        <v>746</v>
      </c>
      <c r="C212" s="140">
        <v>4.0092115850000001</v>
      </c>
      <c r="D212" s="248">
        <f t="shared" si="6"/>
        <v>4.0092115849999999E-2</v>
      </c>
      <c r="E212" s="69">
        <f t="shared" ca="1" si="7"/>
        <v>1.2033105435842804</v>
      </c>
      <c r="F212" s="249" t="s">
        <v>38</v>
      </c>
      <c r="G212" s="220"/>
      <c r="H212" s="220"/>
      <c r="I212" s="220"/>
      <c r="J212" s="250" t="str" cm="1">
        <f t="array" aca="1" ref="J212" ca="1">IFERROR(INDEX(_xlfn.ANCHORARRAY($S$12),ROW()-12+1),"")</f>
        <v>ELV</v>
      </c>
      <c r="K212" s="70">
        <f ca="1">IF(Tabla16[[#This Row],[Ticker]]="",0,SUMIF(Tablaholdings[Ticker],Tabla16[[#This Row],[Ticker]],Tablaholdings[Peso Real en Portafolio])/100)</f>
        <v>5.5447081909285089E-4</v>
      </c>
      <c r="L212" s="220"/>
      <c r="M212" s="220"/>
      <c r="N212" s="220"/>
      <c r="O212" s="220"/>
      <c r="P212" s="220"/>
      <c r="Q212" s="220"/>
      <c r="S212" s="227" t="str">
        <f ca="1"/>
        <v>ELV</v>
      </c>
      <c r="AB212" s="14" t="s">
        <v>747</v>
      </c>
    </row>
    <row r="213" spans="1:28" ht="30" customHeight="1" x14ac:dyDescent="0.55000000000000004">
      <c r="A213" s="245" t="s">
        <v>745</v>
      </c>
      <c r="B213" s="246" t="s">
        <v>746</v>
      </c>
      <c r="C213" s="247">
        <v>0.54608500000000004</v>
      </c>
      <c r="D213" s="248">
        <f t="shared" si="6"/>
        <v>5.4608500000000006E-3</v>
      </c>
      <c r="E213" s="69">
        <f t="shared" ca="1" si="7"/>
        <v>0.21928302753044918</v>
      </c>
      <c r="F213" s="249" t="s">
        <v>37</v>
      </c>
      <c r="G213" s="220"/>
      <c r="H213" s="220"/>
      <c r="I213" s="220"/>
      <c r="J213" s="250" t="str" cm="1">
        <f t="array" aca="1" ref="J213" ca="1">IFERROR(INDEX(_xlfn.ANCHORARRAY($S$12),ROW()-12+1),"")</f>
        <v>CASY</v>
      </c>
      <c r="K213" s="70">
        <f ca="1">IF(Tabla16[[#This Row],[Ticker]]="",0,SUMIF(Tablaholdings[Ticker],Tabla16[[#This Row],[Ticker]],Tablaholdings[Peso Real en Portafolio])/100)</f>
        <v>5.5369358898631487E-4</v>
      </c>
      <c r="L213" s="220"/>
      <c r="M213" s="220"/>
      <c r="N213" s="220"/>
      <c r="O213" s="220"/>
      <c r="P213" s="220"/>
      <c r="Q213" s="220"/>
      <c r="S213" s="227" t="str">
        <f ca="1"/>
        <v>CASY</v>
      </c>
      <c r="AB213" s="14" t="s">
        <v>748</v>
      </c>
    </row>
    <row r="214" spans="1:28" ht="30" customHeight="1" x14ac:dyDescent="0.55000000000000004">
      <c r="A214" s="251" t="s">
        <v>749</v>
      </c>
      <c r="B214" s="252" t="s">
        <v>750</v>
      </c>
      <c r="C214" s="140">
        <v>9.7425872100000005E-2</v>
      </c>
      <c r="D214" s="248">
        <f t="shared" si="6"/>
        <v>9.7425872100000003E-4</v>
      </c>
      <c r="E214" s="69">
        <f t="shared" ca="1" si="7"/>
        <v>2.9062994389007672E-2</v>
      </c>
      <c r="F214" s="249" t="s">
        <v>39</v>
      </c>
      <c r="G214" s="220"/>
      <c r="H214" s="220"/>
      <c r="I214" s="220"/>
      <c r="J214" s="250" t="str" cm="1">
        <f t="array" aca="1" ref="J214" ca="1">IFERROR(INDEX(_xlfn.ANCHORARRAY($S$12),ROW()-12+1),"")</f>
        <v>JCI</v>
      </c>
      <c r="K214" s="70">
        <f ca="1">IF(Tabla16[[#This Row],[Ticker]]="",0,SUMIF(Tablaholdings[Ticker],Tabla16[[#This Row],[Ticker]],Tablaholdings[Peso Real en Portafolio])/100)</f>
        <v>5.533986679011751E-4</v>
      </c>
      <c r="L214" s="220"/>
      <c r="M214" s="220"/>
      <c r="N214" s="220"/>
      <c r="O214" s="220"/>
      <c r="P214" s="220"/>
      <c r="Q214" s="220"/>
      <c r="S214" s="227" t="str">
        <f ca="1"/>
        <v>JCI</v>
      </c>
      <c r="AB214" s="14" t="s">
        <v>751</v>
      </c>
    </row>
    <row r="215" spans="1:28" ht="30" customHeight="1" x14ac:dyDescent="0.55000000000000004">
      <c r="A215" s="251" t="s">
        <v>752</v>
      </c>
      <c r="B215" s="252" t="s">
        <v>753</v>
      </c>
      <c r="C215" s="140">
        <v>3.31680445E-2</v>
      </c>
      <c r="D215" s="248">
        <f t="shared" si="6"/>
        <v>3.3168044500000001E-4</v>
      </c>
      <c r="E215" s="69">
        <f t="shared" ca="1" si="7"/>
        <v>9.9549392220272658E-3</v>
      </c>
      <c r="F215" s="249" t="s">
        <v>38</v>
      </c>
      <c r="G215" s="220"/>
      <c r="H215" s="220"/>
      <c r="I215" s="220"/>
      <c r="J215" s="250" t="str" cm="1">
        <f t="array" aca="1" ref="J215" ca="1">IFERROR(INDEX(_xlfn.ANCHORARRAY($S$12),ROW()-12+1),"")</f>
        <v>ICE</v>
      </c>
      <c r="K215" s="70">
        <f ca="1">IF(Tabla16[[#This Row],[Ticker]]="",0,SUMIF(Tablaholdings[Ticker],Tabla16[[#This Row],[Ticker]],Tablaholdings[Peso Real en Portafolio])/100)</f>
        <v>5.5258752729923314E-4</v>
      </c>
      <c r="L215" s="220"/>
      <c r="M215" s="220"/>
      <c r="N215" s="220"/>
      <c r="O215" s="220"/>
      <c r="P215" s="220"/>
      <c r="Q215" s="220"/>
      <c r="S215" s="227" t="str">
        <f ca="1"/>
        <v>ICE</v>
      </c>
      <c r="AB215" s="14" t="s">
        <v>754</v>
      </c>
    </row>
    <row r="216" spans="1:28" ht="30" customHeight="1" x14ac:dyDescent="0.55000000000000004">
      <c r="A216" s="245" t="s">
        <v>755</v>
      </c>
      <c r="B216" s="246" t="s">
        <v>756</v>
      </c>
      <c r="C216" s="247">
        <v>8.3918000000000006E-2</v>
      </c>
      <c r="D216" s="248">
        <f t="shared" si="6"/>
        <v>8.3918000000000003E-4</v>
      </c>
      <c r="E216" s="69">
        <f t="shared" ca="1" si="7"/>
        <v>3.3697671798896205E-2</v>
      </c>
      <c r="F216" s="249" t="s">
        <v>37</v>
      </c>
      <c r="G216" s="220"/>
      <c r="H216" s="220"/>
      <c r="I216" s="220"/>
      <c r="J216" s="250" t="str" cm="1">
        <f t="array" aca="1" ref="J216" ca="1">IFERROR(INDEX(_xlfn.ANCHORARRAY($S$12),ROW()-12+1),"")</f>
        <v>WAT</v>
      </c>
      <c r="K216" s="70">
        <f ca="1">IF(Tabla16[[#This Row],[Ticker]]="",0,SUMIF(Tablaholdings[Ticker],Tabla16[[#This Row],[Ticker]],Tablaholdings[Peso Real en Portafolio])/100)</f>
        <v>5.5219443173472121E-4</v>
      </c>
      <c r="L216" s="220"/>
      <c r="M216" s="220"/>
      <c r="N216" s="220"/>
      <c r="O216" s="220"/>
      <c r="P216" s="220"/>
      <c r="Q216" s="220"/>
      <c r="S216" s="227" t="str">
        <f ca="1"/>
        <v>WAT</v>
      </c>
      <c r="AB216" s="14" t="s">
        <v>757</v>
      </c>
    </row>
    <row r="217" spans="1:28" ht="30" customHeight="1" x14ac:dyDescent="0.55000000000000004">
      <c r="A217" s="245" t="s">
        <v>758</v>
      </c>
      <c r="B217" s="246" t="s">
        <v>759</v>
      </c>
      <c r="C217" s="247">
        <v>7.2127999999999998E-2</v>
      </c>
      <c r="D217" s="248">
        <f t="shared" si="6"/>
        <v>7.2127999999999992E-4</v>
      </c>
      <c r="E217" s="69">
        <f t="shared" ca="1" si="7"/>
        <v>2.896334125587818E-2</v>
      </c>
      <c r="F217" s="249" t="s">
        <v>37</v>
      </c>
      <c r="G217" s="220"/>
      <c r="H217" s="220"/>
      <c r="I217" s="220"/>
      <c r="J217" s="253" t="str" cm="1">
        <f t="array" aca="1" ref="J217" ca="1">IFERROR(INDEX(_xlfn.ANCHORARRAY($S$12),ROW()-12+1),"")</f>
        <v>SNOW</v>
      </c>
      <c r="K217" s="70">
        <f ca="1">IF(Tabla16[[#This Row],[Ticker]]="",0,SUMIF(Tablaholdings[Ticker],Tabla16[[#This Row],[Ticker]],Tablaholdings[Peso Real en Portafolio])/100)</f>
        <v>5.450858331545053E-4</v>
      </c>
      <c r="L217" s="220"/>
      <c r="M217" s="220"/>
      <c r="N217" s="220"/>
      <c r="O217" s="220"/>
      <c r="P217" s="220"/>
      <c r="Q217" s="220"/>
      <c r="S217" s="227" t="str">
        <f ca="1"/>
        <v>SNOW</v>
      </c>
      <c r="AB217" s="14" t="s">
        <v>760</v>
      </c>
    </row>
    <row r="218" spans="1:28" ht="30" customHeight="1" x14ac:dyDescent="0.55000000000000004">
      <c r="A218" s="251" t="s">
        <v>761</v>
      </c>
      <c r="B218" s="252" t="s">
        <v>762</v>
      </c>
      <c r="C218" s="140">
        <v>0.20247049789999999</v>
      </c>
      <c r="D218" s="248">
        <f t="shared" si="6"/>
        <v>2.024704979E-3</v>
      </c>
      <c r="E218" s="69">
        <f t="shared" ca="1" si="7"/>
        <v>6.0398730004360808E-2</v>
      </c>
      <c r="F218" s="249" t="s">
        <v>39</v>
      </c>
      <c r="G218" s="220"/>
      <c r="H218" s="220"/>
      <c r="I218" s="220"/>
      <c r="J218" s="250" t="str" cm="1">
        <f t="array" aca="1" ref="J218" ca="1">IFERROR(INDEX(_xlfn.ANCHORARRAY($S$12),ROW()-12+1),"")</f>
        <v>GD</v>
      </c>
      <c r="K218" s="70">
        <f ca="1">IF(Tabla16[[#This Row],[Ticker]]="",0,SUMIF(Tablaholdings[Ticker],Tabla16[[#This Row],[Ticker]],Tablaholdings[Peso Real en Portafolio])/100)</f>
        <v>5.4428739054569763E-4</v>
      </c>
      <c r="L218" s="220"/>
      <c r="M218" s="220"/>
      <c r="N218" s="220"/>
      <c r="O218" s="220"/>
      <c r="P218" s="220"/>
      <c r="Q218" s="220"/>
      <c r="S218" s="227" t="str">
        <f ca="1"/>
        <v>GD</v>
      </c>
      <c r="AB218" s="14" t="s">
        <v>763</v>
      </c>
    </row>
    <row r="219" spans="1:28" ht="30" customHeight="1" x14ac:dyDescent="0.55000000000000004">
      <c r="A219" s="245" t="s">
        <v>761</v>
      </c>
      <c r="B219" s="246" t="s">
        <v>764</v>
      </c>
      <c r="C219" s="247">
        <v>8.7312000000000001E-2</v>
      </c>
      <c r="D219" s="248">
        <f t="shared" si="6"/>
        <v>8.7312000000000002E-4</v>
      </c>
      <c r="E219" s="69">
        <f t="shared" ca="1" si="7"/>
        <v>3.5060548632060165E-2</v>
      </c>
      <c r="F219" s="249" t="s">
        <v>37</v>
      </c>
      <c r="G219" s="220"/>
      <c r="H219" s="220"/>
      <c r="I219" s="220"/>
      <c r="J219" s="250" t="str" cm="1">
        <f t="array" aca="1" ref="J219" ca="1">IFERROR(INDEX(_xlfn.ANCHORARRAY($S$12),ROW()-12+1),"")</f>
        <v>CCL</v>
      </c>
      <c r="K219" s="70">
        <f ca="1">IF(Tabla16[[#This Row],[Ticker]]="",0,SUMIF(Tablaholdings[Ticker],Tabla16[[#This Row],[Ticker]],Tablaholdings[Peso Real en Portafolio])/100)</f>
        <v>5.4341812467902583E-4</v>
      </c>
      <c r="L219" s="220"/>
      <c r="M219" s="220"/>
      <c r="N219" s="220"/>
      <c r="O219" s="220"/>
      <c r="P219" s="220"/>
      <c r="Q219" s="220"/>
      <c r="S219" s="227" t="str">
        <f ca="1"/>
        <v>CCL</v>
      </c>
      <c r="AB219" s="14" t="s">
        <v>765</v>
      </c>
    </row>
    <row r="220" spans="1:28" ht="30" customHeight="1" x14ac:dyDescent="0.55000000000000004">
      <c r="A220" s="245" t="s">
        <v>766</v>
      </c>
      <c r="B220" s="246" t="s">
        <v>767</v>
      </c>
      <c r="C220" s="247">
        <v>3.2745999999999997E-2</v>
      </c>
      <c r="D220" s="248">
        <f t="shared" si="6"/>
        <v>3.2745999999999996E-4</v>
      </c>
      <c r="E220" s="69">
        <f t="shared" ca="1" si="7"/>
        <v>1.3149311956036308E-2</v>
      </c>
      <c r="F220" s="249" t="s">
        <v>37</v>
      </c>
      <c r="G220" s="220"/>
      <c r="H220" s="220"/>
      <c r="I220" s="220"/>
      <c r="J220" s="250" t="str" cm="1">
        <f t="array" aca="1" ref="J220" ca="1">IFERROR(INDEX(_xlfn.ANCHORARRAY($S$12),ROW()-12+1),"")</f>
        <v>PNC</v>
      </c>
      <c r="K220" s="70">
        <f ca="1">IF(Tabla16[[#This Row],[Ticker]]="",0,SUMIF(Tablaholdings[Ticker],Tabla16[[#This Row],[Ticker]],Tablaholdings[Peso Real en Portafolio])/100)</f>
        <v>5.3311212175755583E-4</v>
      </c>
      <c r="L220" s="220"/>
      <c r="M220" s="220"/>
      <c r="N220" s="220"/>
      <c r="O220" s="220"/>
      <c r="P220" s="220"/>
      <c r="Q220" s="220"/>
      <c r="S220" s="227" t="str">
        <f ca="1"/>
        <v>PNC</v>
      </c>
      <c r="AB220" s="14" t="s">
        <v>768</v>
      </c>
    </row>
    <row r="221" spans="1:28" ht="30" customHeight="1" x14ac:dyDescent="0.55000000000000004">
      <c r="A221" s="251" t="s">
        <v>769</v>
      </c>
      <c r="B221" s="252" t="s">
        <v>770</v>
      </c>
      <c r="C221" s="140">
        <v>0.23594776510000001</v>
      </c>
      <c r="D221" s="248">
        <f t="shared" si="6"/>
        <v>2.359477651E-3</v>
      </c>
      <c r="E221" s="69">
        <f t="shared" ca="1" si="7"/>
        <v>7.0385293201806504E-2</v>
      </c>
      <c r="F221" s="249" t="s">
        <v>39</v>
      </c>
      <c r="G221" s="220"/>
      <c r="H221" s="220"/>
      <c r="I221" s="220"/>
      <c r="J221" s="250" t="str" cm="1">
        <f t="array" aca="1" ref="J221" ca="1">IFERROR(INDEX(_xlfn.ANCHORARRAY($S$12),ROW()-12+1),"")</f>
        <v>CSX</v>
      </c>
      <c r="K221" s="70">
        <f ca="1">IF(Tabla16[[#This Row],[Ticker]]="",0,SUMIF(Tablaholdings[Ticker],Tabla16[[#This Row],[Ticker]],Tablaholdings[Peso Real en Portafolio])/100)</f>
        <v>5.192865915967322E-4</v>
      </c>
      <c r="L221" s="220"/>
      <c r="M221" s="220"/>
      <c r="N221" s="220"/>
      <c r="O221" s="220"/>
      <c r="P221" s="220"/>
      <c r="Q221" s="220"/>
      <c r="S221" s="227" t="str">
        <f ca="1"/>
        <v>CSX</v>
      </c>
      <c r="AB221" s="14" t="s">
        <v>771</v>
      </c>
    </row>
    <row r="222" spans="1:28" ht="30" customHeight="1" x14ac:dyDescent="0.55000000000000004">
      <c r="A222" s="245" t="s">
        <v>769</v>
      </c>
      <c r="B222" s="246" t="s">
        <v>770</v>
      </c>
      <c r="C222" s="247">
        <v>0.105491</v>
      </c>
      <c r="D222" s="248">
        <f t="shared" si="6"/>
        <v>1.05491E-3</v>
      </c>
      <c r="E222" s="69">
        <f t="shared" ca="1" si="7"/>
        <v>4.2360412494784901E-2</v>
      </c>
      <c r="F222" s="249" t="s">
        <v>37</v>
      </c>
      <c r="G222" s="220"/>
      <c r="H222" s="220"/>
      <c r="I222" s="220"/>
      <c r="J222" s="250" t="str" cm="1">
        <f t="array" aca="1" ref="J222" ca="1">IFERROR(INDEX(_xlfn.ANCHORARRAY($S$12),ROW()-12+1),"")</f>
        <v>USB</v>
      </c>
      <c r="K222" s="70">
        <f ca="1">IF(Tabla16[[#This Row],[Ticker]]="",0,SUMIF(Tablaholdings[Ticker],Tabla16[[#This Row],[Ticker]],Tablaholdings[Peso Real en Portafolio])/100)</f>
        <v>5.157408631238867E-4</v>
      </c>
      <c r="L222" s="220"/>
      <c r="M222" s="220"/>
      <c r="N222" s="220"/>
      <c r="O222" s="220"/>
      <c r="P222" s="220"/>
      <c r="Q222" s="220"/>
      <c r="S222" s="227" t="str">
        <f ca="1"/>
        <v>USB</v>
      </c>
      <c r="AB222" s="14" t="s">
        <v>772</v>
      </c>
    </row>
    <row r="223" spans="1:28" ht="30" customHeight="1" x14ac:dyDescent="0.55000000000000004">
      <c r="A223" s="245" t="s">
        <v>773</v>
      </c>
      <c r="B223" s="246" t="s">
        <v>774</v>
      </c>
      <c r="C223" s="247">
        <v>0.229134</v>
      </c>
      <c r="D223" s="248">
        <f t="shared" si="6"/>
        <v>2.2913400000000002E-3</v>
      </c>
      <c r="E223" s="69">
        <f t="shared" ca="1" si="7"/>
        <v>9.2009846873951737E-2</v>
      </c>
      <c r="F223" s="249" t="s">
        <v>37</v>
      </c>
      <c r="G223" s="220"/>
      <c r="H223" s="220"/>
      <c r="I223" s="220"/>
      <c r="J223" s="250" t="str" cm="1">
        <f t="array" aca="1" ref="J223" ca="1">IFERROR(INDEX(_xlfn.ANCHORARRAY($S$12),ROW()-12+1),"")</f>
        <v>CIEN</v>
      </c>
      <c r="K223" s="70">
        <f ca="1">IF(Tabla16[[#This Row],[Ticker]]="",0,SUMIF(Tablaholdings[Ticker],Tabla16[[#This Row],[Ticker]],Tablaholdings[Peso Real en Portafolio])/100)</f>
        <v>5.1320705262970149E-4</v>
      </c>
      <c r="L223" s="220"/>
      <c r="M223" s="220"/>
      <c r="N223" s="220"/>
      <c r="O223" s="220"/>
      <c r="P223" s="220"/>
      <c r="Q223" s="220"/>
      <c r="S223" s="227" t="str">
        <f ca="1"/>
        <v>CIEN</v>
      </c>
      <c r="AB223" s="14" t="s">
        <v>775</v>
      </c>
    </row>
    <row r="224" spans="1:28" ht="30" customHeight="1" x14ac:dyDescent="0.55000000000000004">
      <c r="A224" s="251" t="s">
        <v>776</v>
      </c>
      <c r="B224" s="252" t="s">
        <v>777</v>
      </c>
      <c r="C224" s="140">
        <v>4.7899360799999999E-2</v>
      </c>
      <c r="D224" s="248">
        <f t="shared" si="6"/>
        <v>4.78993608E-4</v>
      </c>
      <c r="E224" s="69">
        <f t="shared" ca="1" si="7"/>
        <v>1.4288800543027974E-2</v>
      </c>
      <c r="F224" s="249" t="s">
        <v>39</v>
      </c>
      <c r="G224" s="220"/>
      <c r="H224" s="220"/>
      <c r="I224" s="220"/>
      <c r="J224" s="250" t="str" cm="1">
        <f t="array" aca="1" ref="J224" ca="1">IFERROR(INDEX(_xlfn.ANCHORARRAY($S$12),ROW()-12+1),"")</f>
        <v>AMT</v>
      </c>
      <c r="K224" s="70">
        <f ca="1">IF(Tabla16[[#This Row],[Ticker]]="",0,SUMIF(Tablaholdings[Ticker],Tabla16[[#This Row],[Ticker]],Tablaholdings[Peso Real en Portafolio])/100)</f>
        <v>5.1140808733430535E-4</v>
      </c>
      <c r="L224" s="220"/>
      <c r="M224" s="220"/>
      <c r="N224" s="220"/>
      <c r="O224" s="220"/>
      <c r="P224" s="220"/>
      <c r="Q224" s="220"/>
      <c r="S224" s="227" t="str">
        <f ca="1"/>
        <v>AMT</v>
      </c>
      <c r="AB224" s="14" t="s">
        <v>778</v>
      </c>
    </row>
    <row r="225" spans="1:28" ht="30" customHeight="1" x14ac:dyDescent="0.55000000000000004">
      <c r="A225" s="245" t="s">
        <v>776</v>
      </c>
      <c r="B225" s="246" t="s">
        <v>777</v>
      </c>
      <c r="C225" s="247">
        <v>2.0917999999999999E-2</v>
      </c>
      <c r="D225" s="248">
        <f t="shared" si="6"/>
        <v>2.0918E-4</v>
      </c>
      <c r="E225" s="69">
        <f t="shared" ca="1" si="7"/>
        <v>8.3997223323876973E-3</v>
      </c>
      <c r="F225" s="249" t="s">
        <v>37</v>
      </c>
      <c r="G225" s="220"/>
      <c r="H225" s="220"/>
      <c r="I225" s="220"/>
      <c r="J225" s="250" t="str" cm="1">
        <f t="array" aca="1" ref="J225" ca="1">IFERROR(INDEX(_xlfn.ANCHORARRAY($S$12),ROW()-12+1),"")</f>
        <v>AXON</v>
      </c>
      <c r="K225" s="70">
        <f ca="1">IF(Tabla16[[#This Row],[Ticker]]="",0,SUMIF(Tablaholdings[Ticker],Tabla16[[#This Row],[Ticker]],Tablaholdings[Peso Real en Portafolio])/100)</f>
        <v>5.0710720876468525E-4</v>
      </c>
      <c r="L225" s="220"/>
      <c r="M225" s="220"/>
      <c r="N225" s="220"/>
      <c r="O225" s="220"/>
      <c r="P225" s="220"/>
      <c r="Q225" s="220"/>
      <c r="S225" s="227" t="str">
        <f ca="1"/>
        <v>AXON</v>
      </c>
      <c r="AB225" s="14" t="s">
        <v>779</v>
      </c>
    </row>
    <row r="226" spans="1:28" ht="30" customHeight="1" x14ac:dyDescent="0.55000000000000004">
      <c r="A226" s="245" t="s">
        <v>780</v>
      </c>
      <c r="B226" s="246" t="s">
        <v>781</v>
      </c>
      <c r="C226" s="247">
        <v>0.113438</v>
      </c>
      <c r="D226" s="248">
        <f t="shared" si="6"/>
        <v>1.1343799999999999E-3</v>
      </c>
      <c r="E226" s="69">
        <f t="shared" ca="1" si="7"/>
        <v>4.5551568120345901E-2</v>
      </c>
      <c r="F226" s="249" t="s">
        <v>37</v>
      </c>
      <c r="G226" s="220"/>
      <c r="H226" s="220"/>
      <c r="I226" s="220"/>
      <c r="J226" s="250" t="str" cm="1">
        <f t="array" aca="1" ref="J226" ca="1">IFERROR(INDEX(_xlfn.ANCHORARRAY($S$12),ROW()-12+1),"")</f>
        <v>WM</v>
      </c>
      <c r="K226" s="70">
        <f ca="1">IF(Tabla16[[#This Row],[Ticker]]="",0,SUMIF(Tablaholdings[Ticker],Tabla16[[#This Row],[Ticker]],Tablaholdings[Peso Real en Portafolio])/100)</f>
        <v>5.0469810740437905E-4</v>
      </c>
      <c r="L226" s="220"/>
      <c r="M226" s="220"/>
      <c r="N226" s="220"/>
      <c r="O226" s="220"/>
      <c r="P226" s="220"/>
      <c r="Q226" s="220"/>
      <c r="S226" s="227" t="str">
        <f ca="1"/>
        <v>WM</v>
      </c>
      <c r="AB226" s="14" t="s">
        <v>782</v>
      </c>
    </row>
    <row r="227" spans="1:28" ht="30" customHeight="1" x14ac:dyDescent="0.55000000000000004">
      <c r="A227" s="245" t="s">
        <v>783</v>
      </c>
      <c r="B227" s="246" t="s">
        <v>784</v>
      </c>
      <c r="C227" s="247">
        <v>3.5036999999999999E-2</v>
      </c>
      <c r="D227" s="248">
        <f t="shared" si="6"/>
        <v>3.5036999999999997E-4</v>
      </c>
      <c r="E227" s="69">
        <f t="shared" ca="1" si="7"/>
        <v>1.4069273896159657E-2</v>
      </c>
      <c r="F227" s="249" t="s">
        <v>37</v>
      </c>
      <c r="G227" s="220"/>
      <c r="H227" s="220"/>
      <c r="I227" s="220"/>
      <c r="J227" s="250" t="str" cm="1">
        <f t="array" aca="1" ref="J227" ca="1">IFERROR(INDEX(_xlfn.ANCHORARRAY($S$12),ROW()-12+1),"")</f>
        <v>TDY</v>
      </c>
      <c r="K227" s="70">
        <f ca="1">IF(Tabla16[[#This Row],[Ticker]]="",0,SUMIF(Tablaholdings[Ticker],Tabla16[[#This Row],[Ticker]],Tablaholdings[Peso Real en Portafolio])/100)</f>
        <v>5.0377145427725337E-4</v>
      </c>
      <c r="L227" s="220"/>
      <c r="M227" s="220"/>
      <c r="N227" s="220"/>
      <c r="O227" s="220"/>
      <c r="P227" s="220"/>
      <c r="Q227" s="220"/>
      <c r="S227" s="227" t="str">
        <f ca="1"/>
        <v>TDY</v>
      </c>
      <c r="AB227" s="14" t="s">
        <v>785</v>
      </c>
    </row>
    <row r="228" spans="1:28" ht="30" customHeight="1" x14ac:dyDescent="0.55000000000000004">
      <c r="A228" s="245" t="s">
        <v>786</v>
      </c>
      <c r="B228" s="246" t="s">
        <v>787</v>
      </c>
      <c r="C228" s="247">
        <v>3.3043999999999997E-2</v>
      </c>
      <c r="D228" s="248">
        <f t="shared" si="6"/>
        <v>3.3043999999999999E-4</v>
      </c>
      <c r="E228" s="69">
        <f t="shared" ca="1" si="7"/>
        <v>1.3268975272560428E-2</v>
      </c>
      <c r="F228" s="249" t="s">
        <v>37</v>
      </c>
      <c r="G228" s="220"/>
      <c r="H228" s="220"/>
      <c r="I228" s="220"/>
      <c r="J228" s="250" t="str" cm="1">
        <f t="array" aca="1" ref="J228" ca="1">IFERROR(INDEX(_xlfn.ANCHORARRAY($S$12),ROW()-12+1),"")</f>
        <v>FDX</v>
      </c>
      <c r="K228" s="70">
        <f ca="1">IF(Tabla16[[#This Row],[Ticker]]="",0,SUMIF(Tablaholdings[Ticker],Tabla16[[#This Row],[Ticker]],Tablaholdings[Peso Real en Portafolio])/100)</f>
        <v>5.0299149970227343E-4</v>
      </c>
      <c r="L228" s="220"/>
      <c r="M228" s="220"/>
      <c r="N228" s="220"/>
      <c r="O228" s="220"/>
      <c r="P228" s="220"/>
      <c r="Q228" s="220"/>
      <c r="S228" s="227" t="str">
        <f ca="1"/>
        <v>FDX</v>
      </c>
      <c r="AB228" s="14" t="s">
        <v>788</v>
      </c>
    </row>
    <row r="229" spans="1:28" ht="30" customHeight="1" x14ac:dyDescent="0.55000000000000004">
      <c r="A229" s="245" t="s">
        <v>789</v>
      </c>
      <c r="B229" s="246" t="s">
        <v>790</v>
      </c>
      <c r="C229" s="247">
        <v>5.9381999999999997E-2</v>
      </c>
      <c r="D229" s="248">
        <f t="shared" si="6"/>
        <v>5.9382E-4</v>
      </c>
      <c r="E229" s="69">
        <f t="shared" ca="1" si="7"/>
        <v>2.3845124368574729E-2</v>
      </c>
      <c r="F229" s="249" t="s">
        <v>37</v>
      </c>
      <c r="G229" s="220"/>
      <c r="H229" s="220"/>
      <c r="I229" s="220"/>
      <c r="J229" s="250" t="str" cm="1">
        <f t="array" aca="1" ref="J229" ca="1">IFERROR(INDEX(_xlfn.ANCHORARRAY($S$12),ROW()-12+1),"")</f>
        <v>CI</v>
      </c>
      <c r="K229" s="70">
        <f ca="1">IF(Tabla16[[#This Row],[Ticker]]="",0,SUMIF(Tablaholdings[Ticker],Tabla16[[#This Row],[Ticker]],Tablaholdings[Peso Real en Portafolio])/100)</f>
        <v>4.9843786879830176E-4</v>
      </c>
      <c r="L229" s="220"/>
      <c r="M229" s="220"/>
      <c r="N229" s="220"/>
      <c r="O229" s="220"/>
      <c r="P229" s="220"/>
      <c r="Q229" s="220"/>
      <c r="S229" s="227" t="str">
        <f ca="1"/>
        <v>CI</v>
      </c>
      <c r="AB229" s="14" t="s">
        <v>791</v>
      </c>
    </row>
    <row r="230" spans="1:28" ht="30" customHeight="1" x14ac:dyDescent="0.55000000000000004">
      <c r="A230" s="251" t="s">
        <v>792</v>
      </c>
      <c r="B230" s="252" t="s">
        <v>793</v>
      </c>
      <c r="C230" s="140">
        <v>0.365422368</v>
      </c>
      <c r="D230" s="248">
        <f t="shared" si="6"/>
        <v>3.6542236800000002E-3</v>
      </c>
      <c r="E230" s="69">
        <f t="shared" ca="1" si="7"/>
        <v>0.10900870581790661</v>
      </c>
      <c r="F230" s="249" t="s">
        <v>39</v>
      </c>
      <c r="G230" s="220"/>
      <c r="H230" s="220"/>
      <c r="I230" s="220"/>
      <c r="J230" s="250" t="str" cm="1">
        <f t="array" aca="1" ref="J230" ca="1">IFERROR(INDEX(_xlfn.ANCHORARRAY($S$12),ROW()-12+1),"")</f>
        <v>MDLZ</v>
      </c>
      <c r="K230" s="70">
        <f ca="1">IF(Tabla16[[#This Row],[Ticker]]="",0,SUMIF(Tablaholdings[Ticker],Tabla16[[#This Row],[Ticker]],Tablaholdings[Peso Real en Portafolio])/100)</f>
        <v>4.9549848800314563E-4</v>
      </c>
      <c r="L230" s="220"/>
      <c r="M230" s="220"/>
      <c r="N230" s="220"/>
      <c r="O230" s="220"/>
      <c r="P230" s="220"/>
      <c r="Q230" s="220"/>
      <c r="S230" s="227" t="str">
        <f ca="1"/>
        <v>MDLZ</v>
      </c>
      <c r="AB230" s="14" t="s">
        <v>794</v>
      </c>
    </row>
    <row r="231" spans="1:28" ht="30" customHeight="1" x14ac:dyDescent="0.55000000000000004">
      <c r="A231" s="245" t="s">
        <v>792</v>
      </c>
      <c r="B231" s="246" t="s">
        <v>793</v>
      </c>
      <c r="C231" s="247">
        <v>0.16359699999999999</v>
      </c>
      <c r="D231" s="248">
        <f t="shared" si="6"/>
        <v>1.6359699999999998E-3</v>
      </c>
      <c r="E231" s="69">
        <f t="shared" ca="1" si="7"/>
        <v>6.5693152997974472E-2</v>
      </c>
      <c r="F231" s="249" t="s">
        <v>37</v>
      </c>
      <c r="G231" s="220"/>
      <c r="H231" s="220"/>
      <c r="I231" s="220"/>
      <c r="J231" s="250" t="str" cm="1">
        <f t="array" aca="1" ref="J231" ca="1">IFERROR(INDEX(_xlfn.ANCHORARRAY($S$12),ROW()-12+1),"")</f>
        <v>BSX</v>
      </c>
      <c r="K231" s="70">
        <f ca="1">IF(Tabla16[[#This Row],[Ticker]]="",0,SUMIF(Tablaholdings[Ticker],Tabla16[[#This Row],[Ticker]],Tablaholdings[Peso Real en Portafolio])/100)</f>
        <v>4.9469537849627227E-4</v>
      </c>
      <c r="L231" s="220"/>
      <c r="M231" s="220"/>
      <c r="N231" s="220"/>
      <c r="O231" s="220"/>
      <c r="P231" s="220"/>
      <c r="Q231" s="220"/>
      <c r="S231" s="227" t="str">
        <f ca="1"/>
        <v>BSX</v>
      </c>
      <c r="AB231" s="14" t="s">
        <v>795</v>
      </c>
    </row>
    <row r="232" spans="1:28" ht="30" customHeight="1" x14ac:dyDescent="0.55000000000000004">
      <c r="A232" s="251" t="s">
        <v>796</v>
      </c>
      <c r="B232" s="252" t="s">
        <v>797</v>
      </c>
      <c r="C232" s="140">
        <v>0.27645048379999998</v>
      </c>
      <c r="D232" s="248">
        <f t="shared" si="6"/>
        <v>2.7645048379999998E-3</v>
      </c>
      <c r="E232" s="69">
        <f t="shared" ca="1" si="7"/>
        <v>8.297286757828104E-2</v>
      </c>
      <c r="F232" s="249" t="s">
        <v>38</v>
      </c>
      <c r="G232" s="220"/>
      <c r="H232" s="220"/>
      <c r="I232" s="220"/>
      <c r="J232" s="250" t="str" cm="1">
        <f t="array" aca="1" ref="J232" ca="1">IFERROR(INDEX(_xlfn.ANCHORARRAY($S$12),ROW()-12+1),"")</f>
        <v>RMD</v>
      </c>
      <c r="K232" s="70">
        <f ca="1">IF(Tabla16[[#This Row],[Ticker]]="",0,SUMIF(Tablaholdings[Ticker],Tabla16[[#This Row],[Ticker]],Tablaholdings[Peso Real en Portafolio])/100)</f>
        <v>4.9258213588427256E-4</v>
      </c>
      <c r="L232" s="220"/>
      <c r="M232" s="220"/>
      <c r="N232" s="220"/>
      <c r="O232" s="220"/>
      <c r="P232" s="220"/>
      <c r="Q232" s="220"/>
      <c r="S232" s="227" t="str">
        <f ca="1"/>
        <v>RMD</v>
      </c>
      <c r="AB232" s="14" t="s">
        <v>798</v>
      </c>
    </row>
    <row r="233" spans="1:28" ht="30" customHeight="1" x14ac:dyDescent="0.55000000000000004">
      <c r="A233" s="251" t="s">
        <v>799</v>
      </c>
      <c r="B233" s="252" t="s">
        <v>800</v>
      </c>
      <c r="C233" s="140">
        <v>0.66186203099999996</v>
      </c>
      <c r="D233" s="248">
        <f t="shared" si="6"/>
        <v>6.61862031E-3</v>
      </c>
      <c r="E233" s="69">
        <f t="shared" ca="1" si="7"/>
        <v>0.19743926411565804</v>
      </c>
      <c r="F233" s="249" t="s">
        <v>39</v>
      </c>
      <c r="G233" s="220"/>
      <c r="H233" s="220"/>
      <c r="I233" s="220"/>
      <c r="J233" s="250" t="str" cm="1">
        <f t="array" aca="1" ref="J233" ca="1">IFERROR(INDEX(_xlfn.ANCHORARRAY($S$12),ROW()-12+1),"")</f>
        <v>IQV</v>
      </c>
      <c r="K233" s="70">
        <f ca="1">IF(Tabla16[[#This Row],[Ticker]]="",0,SUMIF(Tablaholdings[Ticker],Tabla16[[#This Row],[Ticker]],Tablaholdings[Peso Real en Portafolio])/100)</f>
        <v>4.8911714124294319E-4</v>
      </c>
      <c r="L233" s="220"/>
      <c r="M233" s="220"/>
      <c r="N233" s="220"/>
      <c r="O233" s="220"/>
      <c r="P233" s="220"/>
      <c r="Q233" s="220"/>
      <c r="S233" s="227" t="str">
        <f ca="1"/>
        <v>IQV</v>
      </c>
      <c r="AB233" s="14" t="s">
        <v>801</v>
      </c>
    </row>
    <row r="234" spans="1:28" ht="30" customHeight="1" x14ac:dyDescent="0.55000000000000004">
      <c r="A234" s="245" t="s">
        <v>799</v>
      </c>
      <c r="B234" s="246" t="s">
        <v>802</v>
      </c>
      <c r="C234" s="247">
        <v>0.29093999999999998</v>
      </c>
      <c r="D234" s="248">
        <f t="shared" si="6"/>
        <v>2.9093999999999999E-3</v>
      </c>
      <c r="E234" s="69">
        <f t="shared" ca="1" si="7"/>
        <v>0.11682833996485688</v>
      </c>
      <c r="F234" s="249" t="s">
        <v>37</v>
      </c>
      <c r="G234" s="220"/>
      <c r="H234" s="220"/>
      <c r="I234" s="220"/>
      <c r="J234" s="250" t="str" cm="1">
        <f t="array" aca="1" ref="J234" ca="1">IFERROR(INDEX(_xlfn.ANCHORARRAY($S$12),ROW()-12+1),"")</f>
        <v>MMM</v>
      </c>
      <c r="K234" s="70">
        <f ca="1">IF(Tabla16[[#This Row],[Ticker]]="",0,SUMIF(Tablaholdings[Ticker],Tabla16[[#This Row],[Ticker]],Tablaholdings[Peso Real en Portafolio])/100)</f>
        <v>4.8743928410167214E-4</v>
      </c>
      <c r="L234" s="220"/>
      <c r="M234" s="220"/>
      <c r="N234" s="220"/>
      <c r="O234" s="220"/>
      <c r="P234" s="220"/>
      <c r="Q234" s="220"/>
      <c r="S234" s="227" t="str">
        <f ca="1"/>
        <v>MMM</v>
      </c>
      <c r="AB234" s="14" t="s">
        <v>803</v>
      </c>
    </row>
    <row r="235" spans="1:28" ht="30" customHeight="1" x14ac:dyDescent="0.55000000000000004">
      <c r="A235" s="251" t="s">
        <v>804</v>
      </c>
      <c r="B235" s="252" t="s">
        <v>805</v>
      </c>
      <c r="C235" s="140">
        <v>4.4691905099999998E-2</v>
      </c>
      <c r="D235" s="248">
        <f t="shared" si="6"/>
        <v>4.4691905100000001E-4</v>
      </c>
      <c r="E235" s="69">
        <f t="shared" ca="1" si="7"/>
        <v>1.333198830206174E-2</v>
      </c>
      <c r="F235" s="249" t="s">
        <v>39</v>
      </c>
      <c r="G235" s="220"/>
      <c r="H235" s="220"/>
      <c r="I235" s="220"/>
      <c r="J235" s="250" t="str" cm="1">
        <f t="array" aca="1" ref="J235" ca="1">IFERROR(INDEX(_xlfn.ANCHORARRAY($S$12),ROW()-12+1),"")</f>
        <v>EMR</v>
      </c>
      <c r="K235" s="70">
        <f ca="1">IF(Tabla16[[#This Row],[Ticker]]="",0,SUMIF(Tablaholdings[Ticker],Tabla16[[#This Row],[Ticker]],Tablaholdings[Peso Real en Portafolio])/100)</f>
        <v>4.8660405021452386E-4</v>
      </c>
      <c r="L235" s="220"/>
      <c r="M235" s="220"/>
      <c r="N235" s="220"/>
      <c r="O235" s="220"/>
      <c r="P235" s="220"/>
      <c r="Q235" s="220"/>
      <c r="S235" s="227" t="str">
        <f ca="1"/>
        <v>EMR</v>
      </c>
      <c r="AB235" s="14" t="s">
        <v>806</v>
      </c>
    </row>
    <row r="236" spans="1:28" ht="30" customHeight="1" x14ac:dyDescent="0.55000000000000004">
      <c r="A236" s="245" t="s">
        <v>807</v>
      </c>
      <c r="B236" s="246" t="s">
        <v>808</v>
      </c>
      <c r="C236" s="247">
        <v>9.7653000000000004E-2</v>
      </c>
      <c r="D236" s="248">
        <f t="shared" si="6"/>
        <v>9.7653000000000008E-4</v>
      </c>
      <c r="E236" s="69">
        <f t="shared" ca="1" si="7"/>
        <v>3.9213026337348494E-2</v>
      </c>
      <c r="F236" s="249" t="s">
        <v>37</v>
      </c>
      <c r="G236" s="220"/>
      <c r="H236" s="220"/>
      <c r="I236" s="220"/>
      <c r="J236" s="250" t="str" cm="1">
        <f t="array" aca="1" ref="J236" ca="1">IFERROR(INDEX(_xlfn.ANCHORARRAY($S$12),ROW()-12+1),"")</f>
        <v>MRSH</v>
      </c>
      <c r="K236" s="70">
        <f ca="1">IF(Tabla16[[#This Row],[Ticker]]="",0,SUMIF(Tablaholdings[Ticker],Tabla16[[#This Row],[Ticker]],Tablaholdings[Peso Real en Portafolio])/100)</f>
        <v>4.8469666513569989E-4</v>
      </c>
      <c r="L236" s="220"/>
      <c r="M236" s="220"/>
      <c r="N236" s="220"/>
      <c r="O236" s="220"/>
      <c r="P236" s="220"/>
      <c r="Q236" s="220"/>
      <c r="S236" s="227" t="str">
        <f ca="1"/>
        <v>MRSH</v>
      </c>
      <c r="AB236" s="14" t="s">
        <v>809</v>
      </c>
    </row>
    <row r="237" spans="1:28" ht="30" customHeight="1" x14ac:dyDescent="0.55000000000000004">
      <c r="A237" s="245" t="s">
        <v>810</v>
      </c>
      <c r="B237" s="246" t="s">
        <v>811</v>
      </c>
      <c r="C237" s="247">
        <v>2.5177999999999999E-2</v>
      </c>
      <c r="D237" s="248">
        <f t="shared" si="6"/>
        <v>2.5178000000000001E-4</v>
      </c>
      <c r="E237" s="69">
        <f t="shared" ca="1" si="7"/>
        <v>1.0110345582027795E-2</v>
      </c>
      <c r="F237" s="249" t="s">
        <v>37</v>
      </c>
      <c r="G237" s="220"/>
      <c r="H237" s="220"/>
      <c r="I237" s="220"/>
      <c r="J237" s="250" t="str" cm="1">
        <f t="array" aca="1" ref="J237" ca="1">IFERROR(INDEX(_xlfn.ANCHORARRAY($S$12),ROW()-12+1),"")</f>
        <v>NXPI</v>
      </c>
      <c r="K237" s="70">
        <f ca="1">IF(Tabla16[[#This Row],[Ticker]]="",0,SUMIF(Tablaholdings[Ticker],Tabla16[[#This Row],[Ticker]],Tablaholdings[Peso Real en Portafolio])/100)</f>
        <v>4.7228862325450759E-4</v>
      </c>
      <c r="L237" s="220"/>
      <c r="M237" s="220"/>
      <c r="N237" s="220"/>
      <c r="O237" s="220"/>
      <c r="P237" s="220"/>
      <c r="Q237" s="220"/>
      <c r="S237" s="227" t="str">
        <f ca="1"/>
        <v>NXPI</v>
      </c>
      <c r="AB237" s="14" t="s">
        <v>812</v>
      </c>
    </row>
    <row r="238" spans="1:28" ht="30" customHeight="1" x14ac:dyDescent="0.55000000000000004">
      <c r="A238" s="245" t="s">
        <v>813</v>
      </c>
      <c r="B238" s="246" t="s">
        <v>814</v>
      </c>
      <c r="C238" s="247">
        <v>2.1329999999999998E-2</v>
      </c>
      <c r="D238" s="248">
        <f t="shared" si="6"/>
        <v>2.1329999999999998E-4</v>
      </c>
      <c r="E238" s="69">
        <f t="shared" ca="1" si="7"/>
        <v>8.5651628908035935E-3</v>
      </c>
      <c r="F238" s="249" t="s">
        <v>37</v>
      </c>
      <c r="G238" s="220"/>
      <c r="H238" s="220"/>
      <c r="I238" s="220"/>
      <c r="J238" s="250" t="str" cm="1">
        <f t="array" aca="1" ref="J238" ca="1">IFERROR(INDEX(_xlfn.ANCHORARRAY($S$12),ROW()-12+1),"")</f>
        <v>VLO</v>
      </c>
      <c r="K238" s="70">
        <f ca="1">IF(Tabla16[[#This Row],[Ticker]]="",0,SUMIF(Tablaholdings[Ticker],Tabla16[[#This Row],[Ticker]],Tablaholdings[Peso Real en Portafolio])/100)</f>
        <v>4.6794781636985748E-4</v>
      </c>
      <c r="L238" s="220"/>
      <c r="M238" s="220"/>
      <c r="N238" s="220"/>
      <c r="O238" s="220"/>
      <c r="P238" s="220"/>
      <c r="Q238" s="220"/>
      <c r="S238" s="227" t="str">
        <f ca="1"/>
        <v>VLO</v>
      </c>
      <c r="AB238" s="14" t="s">
        <v>815</v>
      </c>
    </row>
    <row r="239" spans="1:28" ht="30" customHeight="1" x14ac:dyDescent="0.55000000000000004">
      <c r="A239" s="251" t="s">
        <v>816</v>
      </c>
      <c r="B239" s="252" t="s">
        <v>817</v>
      </c>
      <c r="C239" s="140">
        <v>3.28649705E-2</v>
      </c>
      <c r="D239" s="248">
        <f t="shared" si="6"/>
        <v>3.2864970499999998E-4</v>
      </c>
      <c r="E239" s="69">
        <f t="shared" ca="1" si="7"/>
        <v>9.8039097074338905E-3</v>
      </c>
      <c r="F239" s="249" t="s">
        <v>39</v>
      </c>
      <c r="G239" s="220"/>
      <c r="H239" s="220"/>
      <c r="I239" s="220"/>
      <c r="J239" s="250" t="str" cm="1">
        <f t="array" aca="1" ref="J239" ca="1">IFERROR(INDEX(_xlfn.ANCHORARRAY($S$12),ROW()-12+1),"")</f>
        <v>LITE</v>
      </c>
      <c r="K239" s="70">
        <f ca="1">IF(Tabla16[[#This Row],[Ticker]]="",0,SUMIF(Tablaholdings[Ticker],Tabla16[[#This Row],[Ticker]],Tablaholdings[Peso Real en Portafolio])/100)</f>
        <v>4.6317734589903012E-4</v>
      </c>
      <c r="L239" s="220"/>
      <c r="M239" s="220"/>
      <c r="N239" s="220"/>
      <c r="O239" s="220"/>
      <c r="P239" s="220"/>
      <c r="Q239" s="220"/>
      <c r="S239" s="227" t="str">
        <f ca="1"/>
        <v>LITE</v>
      </c>
      <c r="AB239" s="14" t="s">
        <v>818</v>
      </c>
    </row>
    <row r="240" spans="1:28" ht="30" customHeight="1" x14ac:dyDescent="0.55000000000000004">
      <c r="A240" s="245" t="s">
        <v>819</v>
      </c>
      <c r="B240" s="246" t="s">
        <v>820</v>
      </c>
      <c r="C240" s="247">
        <v>4.5356E-2</v>
      </c>
      <c r="D240" s="248">
        <f t="shared" si="6"/>
        <v>4.5355999999999999E-4</v>
      </c>
      <c r="E240" s="69">
        <f t="shared" ca="1" si="7"/>
        <v>1.8212917396872377E-2</v>
      </c>
      <c r="F240" s="249" t="s">
        <v>37</v>
      </c>
      <c r="G240" s="220"/>
      <c r="H240" s="220"/>
      <c r="I240" s="220"/>
      <c r="J240" s="250" t="str" cm="1">
        <f t="array" aca="1" ref="J240" ca="1">IFERROR(INDEX(_xlfn.ANCHORARRAY($S$12),ROW()-12+1),"")</f>
        <v>NOC</v>
      </c>
      <c r="K240" s="70">
        <f ca="1">IF(Tabla16[[#This Row],[Ticker]]="",0,SUMIF(Tablaholdings[Ticker],Tabla16[[#This Row],[Ticker]],Tablaholdings[Peso Real en Portafolio])/100)</f>
        <v>4.6260312260161578E-4</v>
      </c>
      <c r="L240" s="220"/>
      <c r="M240" s="220"/>
      <c r="N240" s="220"/>
      <c r="O240" s="220"/>
      <c r="P240" s="220"/>
      <c r="Q240" s="220"/>
      <c r="S240" s="227" t="str">
        <f ca="1"/>
        <v>NOC</v>
      </c>
      <c r="AB240" s="14" t="s">
        <v>821</v>
      </c>
    </row>
    <row r="241" spans="1:28" ht="30" customHeight="1" x14ac:dyDescent="0.55000000000000004">
      <c r="A241" s="245" t="s">
        <v>822</v>
      </c>
      <c r="B241" s="246" t="s">
        <v>823</v>
      </c>
      <c r="C241" s="247">
        <v>4.3584999999999999E-2</v>
      </c>
      <c r="D241" s="248">
        <f t="shared" si="6"/>
        <v>4.3585E-4</v>
      </c>
      <c r="E241" s="69">
        <f t="shared" ca="1" si="7"/>
        <v>1.7501763928536081E-2</v>
      </c>
      <c r="F241" s="249" t="s">
        <v>37</v>
      </c>
      <c r="G241" s="220"/>
      <c r="H241" s="220"/>
      <c r="I241" s="220"/>
      <c r="J241" s="250" t="str" cm="1">
        <f t="array" aca="1" ref="J241" ca="1">IFERROR(INDEX(_xlfn.ANCHORARRAY($S$12),ROW()-12+1),"")</f>
        <v>MPC</v>
      </c>
      <c r="K241" s="70">
        <f ca="1">IF(Tabla16[[#This Row],[Ticker]]="",0,SUMIF(Tablaholdings[Ticker],Tabla16[[#This Row],[Ticker]],Tablaholdings[Peso Real en Portafolio])/100)</f>
        <v>4.6189237068803288E-4</v>
      </c>
      <c r="L241" s="220"/>
      <c r="M241" s="220"/>
      <c r="N241" s="220"/>
      <c r="O241" s="220"/>
      <c r="P241" s="220"/>
      <c r="Q241" s="220"/>
      <c r="S241" s="227" t="str">
        <f ca="1"/>
        <v>MPC</v>
      </c>
      <c r="AB241" s="14" t="s">
        <v>824</v>
      </c>
    </row>
    <row r="242" spans="1:28" ht="30" customHeight="1" x14ac:dyDescent="0.55000000000000004">
      <c r="A242" s="251" t="s">
        <v>825</v>
      </c>
      <c r="B242" s="252" t="s">
        <v>826</v>
      </c>
      <c r="C242" s="140">
        <v>3.3732577600000001E-2</v>
      </c>
      <c r="D242" s="248">
        <f t="shared" si="6"/>
        <v>3.3732577600000002E-4</v>
      </c>
      <c r="E242" s="69">
        <f t="shared" ca="1" si="7"/>
        <v>1.0062724534908894E-2</v>
      </c>
      <c r="F242" s="249" t="s">
        <v>39</v>
      </c>
      <c r="G242" s="220"/>
      <c r="H242" s="220"/>
      <c r="I242" s="220"/>
      <c r="J242" s="250" t="str" cm="1">
        <f t="array" aca="1" ref="J242" ca="1">IFERROR(INDEX(_xlfn.ANCHORARRAY($S$12),ROW()-12+1),"")</f>
        <v>CRH</v>
      </c>
      <c r="K242" s="70">
        <f ca="1">IF(Tabla16[[#This Row],[Ticker]]="",0,SUMIF(Tablaholdings[Ticker],Tabla16[[#This Row],[Ticker]],Tablaholdings[Peso Real en Portafolio])/100)</f>
        <v>4.5847915528382147E-4</v>
      </c>
      <c r="L242" s="220"/>
      <c r="M242" s="220"/>
      <c r="N242" s="220"/>
      <c r="O242" s="220"/>
      <c r="P242" s="220"/>
      <c r="Q242" s="220"/>
      <c r="S242" s="227" t="str">
        <f ca="1"/>
        <v>CRH</v>
      </c>
      <c r="AB242" s="14" t="s">
        <v>827</v>
      </c>
    </row>
    <row r="243" spans="1:28" ht="30" customHeight="1" x14ac:dyDescent="0.55000000000000004">
      <c r="A243" s="245" t="s">
        <v>825</v>
      </c>
      <c r="B243" s="246" t="s">
        <v>826</v>
      </c>
      <c r="C243" s="247">
        <v>1.4916E-2</v>
      </c>
      <c r="D243" s="248">
        <f t="shared" si="6"/>
        <v>1.4916000000000002E-4</v>
      </c>
      <c r="E243" s="69">
        <f t="shared" ca="1" si="7"/>
        <v>5.9895907022609659E-3</v>
      </c>
      <c r="F243" s="249" t="s">
        <v>37</v>
      </c>
      <c r="G243" s="220"/>
      <c r="H243" s="220"/>
      <c r="I243" s="220"/>
      <c r="J243" s="250" t="str" cm="1">
        <f t="array" aca="1" ref="J243" ca="1">IFERROR(INDEX(_xlfn.ANCHORARRAY($S$12),ROW()-12+1),"")</f>
        <v>DELL</v>
      </c>
      <c r="K243" s="70">
        <f ca="1">IF(Tabla16[[#This Row],[Ticker]]="",0,SUMIF(Tablaholdings[Ticker],Tabla16[[#This Row],[Ticker]],Tablaholdings[Peso Real en Portafolio])/100)</f>
        <v>4.5551568120345902E-4</v>
      </c>
      <c r="L243" s="220"/>
      <c r="M243" s="220"/>
      <c r="N243" s="220"/>
      <c r="O243" s="220"/>
      <c r="P243" s="220"/>
      <c r="Q243" s="220"/>
      <c r="S243" s="227" t="str">
        <f ca="1"/>
        <v>DELL</v>
      </c>
      <c r="AB243" s="14" t="s">
        <v>828</v>
      </c>
    </row>
    <row r="244" spans="1:28" ht="30" customHeight="1" x14ac:dyDescent="0.55000000000000004">
      <c r="A244" s="251" t="s">
        <v>829</v>
      </c>
      <c r="B244" s="252" t="s">
        <v>830</v>
      </c>
      <c r="C244" s="140">
        <v>0.57604568499999997</v>
      </c>
      <c r="D244" s="248">
        <f t="shared" si="6"/>
        <v>5.7604568499999998E-3</v>
      </c>
      <c r="E244" s="69">
        <f t="shared" ca="1" si="7"/>
        <v>0.17289230853769696</v>
      </c>
      <c r="F244" s="249" t="s">
        <v>38</v>
      </c>
      <c r="G244" s="220"/>
      <c r="H244" s="220"/>
      <c r="I244" s="220"/>
      <c r="J244" s="250" t="str" cm="1">
        <f t="array" aca="1" ref="J244" ca="1">IFERROR(INDEX(_xlfn.ANCHORARRAY($S$12),ROW()-12+1),"")</f>
        <v>ERIE</v>
      </c>
      <c r="K244" s="70">
        <f ca="1">IF(Tabla16[[#This Row],[Ticker]]="",0,SUMIF(Tablaholdings[Ticker],Tabla16[[#This Row],[Ticker]],Tablaholdings[Peso Real en Portafolio])/100)</f>
        <v>4.526854659613179E-4</v>
      </c>
      <c r="L244" s="220"/>
      <c r="M244" s="220"/>
      <c r="N244" s="220"/>
      <c r="O244" s="220"/>
      <c r="P244" s="220"/>
      <c r="Q244" s="220"/>
      <c r="S244" s="227" t="str">
        <f ca="1"/>
        <v>ERIE</v>
      </c>
      <c r="AB244" s="14" t="s">
        <v>831</v>
      </c>
    </row>
    <row r="245" spans="1:28" ht="30" customHeight="1" x14ac:dyDescent="0.55000000000000004">
      <c r="A245" s="245" t="s">
        <v>829</v>
      </c>
      <c r="B245" s="246" t="s">
        <v>830</v>
      </c>
      <c r="C245" s="247">
        <v>3.4778999999999997E-2</v>
      </c>
      <c r="D245" s="248">
        <f t="shared" si="6"/>
        <v>3.4778999999999995E-4</v>
      </c>
      <c r="E245" s="69">
        <f t="shared" ca="1" si="7"/>
        <v>1.3965672769773004E-2</v>
      </c>
      <c r="F245" s="249" t="s">
        <v>37</v>
      </c>
      <c r="G245" s="220"/>
      <c r="H245" s="220"/>
      <c r="I245" s="220"/>
      <c r="J245" s="250" t="str" cm="1">
        <f t="array" aca="1" ref="J245" ca="1">IFERROR(INDEX(_xlfn.ANCHORARRAY($S$12),ROW()-12+1),"")</f>
        <v>LYV</v>
      </c>
      <c r="K245" s="70">
        <f ca="1">IF(Tabla16[[#This Row],[Ticker]]="",0,SUMIF(Tablaholdings[Ticker],Tabla16[[#This Row],[Ticker]],Tablaholdings[Peso Real en Portafolio])/100)</f>
        <v>4.499327411271539E-4</v>
      </c>
      <c r="L245" s="220"/>
      <c r="M245" s="220"/>
      <c r="N245" s="220"/>
      <c r="O245" s="220"/>
      <c r="P245" s="220"/>
      <c r="Q245" s="220"/>
      <c r="S245" s="227" t="str">
        <f ca="1"/>
        <v>LYV</v>
      </c>
      <c r="AB245" s="14" t="s">
        <v>832</v>
      </c>
    </row>
    <row r="246" spans="1:28" ht="30" customHeight="1" x14ac:dyDescent="0.55000000000000004">
      <c r="A246" s="251" t="s">
        <v>833</v>
      </c>
      <c r="B246" s="252" t="s">
        <v>834</v>
      </c>
      <c r="C246" s="140">
        <v>3.9356768200000003E-2</v>
      </c>
      <c r="D246" s="248">
        <f t="shared" si="6"/>
        <v>3.9356768200000003E-4</v>
      </c>
      <c r="E246" s="69">
        <f t="shared" ca="1" si="7"/>
        <v>1.174047004877748E-2</v>
      </c>
      <c r="F246" s="249" t="s">
        <v>39</v>
      </c>
      <c r="G246" s="220"/>
      <c r="H246" s="220"/>
      <c r="I246" s="220"/>
      <c r="J246" s="250" t="str" cm="1">
        <f t="array" aca="1" ref="J246" ca="1">IFERROR(INDEX(_xlfn.ANCHORARRAY($S$12),ROW()-12+1),"")</f>
        <v>CL</v>
      </c>
      <c r="K246" s="70">
        <f ca="1">IF(Tabla16[[#This Row],[Ticker]]="",0,SUMIF(Tablaholdings[Ticker],Tabla16[[#This Row],[Ticker]],Tablaholdings[Peso Real en Portafolio])/100)</f>
        <v>4.4507927316164063E-4</v>
      </c>
      <c r="L246" s="220"/>
      <c r="M246" s="220"/>
      <c r="N246" s="220"/>
      <c r="O246" s="220"/>
      <c r="P246" s="220"/>
      <c r="Q246" s="220"/>
      <c r="S246" s="227" t="str">
        <f ca="1"/>
        <v>CL</v>
      </c>
      <c r="AB246" s="14" t="s">
        <v>835</v>
      </c>
    </row>
    <row r="247" spans="1:28" ht="30" customHeight="1" x14ac:dyDescent="0.55000000000000004">
      <c r="A247" s="245" t="s">
        <v>836</v>
      </c>
      <c r="B247" s="246" t="s">
        <v>837</v>
      </c>
      <c r="C247" s="247">
        <v>4.6102999999999998E-2</v>
      </c>
      <c r="D247" s="248">
        <f t="shared" si="6"/>
        <v>4.6102999999999997E-4</v>
      </c>
      <c r="E247" s="69">
        <f t="shared" ca="1" si="7"/>
        <v>1.851287879768955E-2</v>
      </c>
      <c r="F247" s="249" t="s">
        <v>37</v>
      </c>
      <c r="G247" s="220"/>
      <c r="H247" s="220"/>
      <c r="I247" s="220"/>
      <c r="J247" s="250" t="str" cm="1">
        <f t="array" aca="1" ref="J247" ca="1">IFERROR(INDEX(_xlfn.ANCHORARRAY($S$12),ROW()-12+1),"")</f>
        <v>NSC</v>
      </c>
      <c r="K247" s="70">
        <f ca="1">IF(Tabla16[[#This Row],[Ticker]]="",0,SUMIF(Tablaholdings[Ticker],Tabla16[[#This Row],[Ticker]],Tablaholdings[Peso Real en Portafolio])/100)</f>
        <v>4.3880698791296034E-4</v>
      </c>
      <c r="L247" s="220"/>
      <c r="M247" s="220"/>
      <c r="N247" s="220"/>
      <c r="O247" s="220"/>
      <c r="P247" s="220"/>
      <c r="Q247" s="220"/>
      <c r="S247" s="227" t="str">
        <f ca="1"/>
        <v>NSC</v>
      </c>
      <c r="AB247" s="14" t="s">
        <v>838</v>
      </c>
    </row>
    <row r="248" spans="1:28" ht="30" customHeight="1" x14ac:dyDescent="0.55000000000000004">
      <c r="A248" s="245" t="s">
        <v>839</v>
      </c>
      <c r="B248" s="246" t="s">
        <v>840</v>
      </c>
      <c r="C248" s="247">
        <v>0.15090400000000001</v>
      </c>
      <c r="D248" s="248">
        <f t="shared" si="6"/>
        <v>1.5090400000000001E-3</v>
      </c>
      <c r="E248" s="69">
        <f t="shared" ca="1" si="7"/>
        <v>6.0596218512603169E-2</v>
      </c>
      <c r="F248" s="249" t="s">
        <v>37</v>
      </c>
      <c r="G248" s="220"/>
      <c r="H248" s="220"/>
      <c r="I248" s="220"/>
      <c r="J248" s="250" t="str" cm="1">
        <f t="array" aca="1" ref="J248" ca="1">IFERROR(INDEX(_xlfn.ANCHORARRAY($S$12),ROW()-12+1),"")</f>
        <v>AEP</v>
      </c>
      <c r="K248" s="70">
        <f ca="1">IF(Tabla16[[#This Row],[Ticker]]="",0,SUMIF(Tablaholdings[Ticker],Tabla16[[#This Row],[Ticker]],Tablaholdings[Peso Real en Portafolio])/100)</f>
        <v>4.3467498950009722E-4</v>
      </c>
      <c r="L248" s="220"/>
      <c r="M248" s="220"/>
      <c r="N248" s="220"/>
      <c r="O248" s="220"/>
      <c r="P248" s="220"/>
      <c r="Q248" s="220"/>
      <c r="S248" s="227" t="str">
        <f ca="1"/>
        <v>AEP</v>
      </c>
      <c r="AB248" s="14" t="s">
        <v>841</v>
      </c>
    </row>
    <row r="249" spans="1:28" ht="30" customHeight="1" x14ac:dyDescent="0.55000000000000004">
      <c r="A249" s="251" t="s">
        <v>842</v>
      </c>
      <c r="B249" s="252" t="s">
        <v>843</v>
      </c>
      <c r="C249" s="140">
        <v>1.5293829599999999E-2</v>
      </c>
      <c r="D249" s="248">
        <f t="shared" si="6"/>
        <v>1.5293829599999999E-4</v>
      </c>
      <c r="E249" s="69">
        <f t="shared" ca="1" si="7"/>
        <v>4.5622838602359236E-3</v>
      </c>
      <c r="F249" s="249" t="s">
        <v>39</v>
      </c>
      <c r="G249" s="220"/>
      <c r="H249" s="220"/>
      <c r="I249" s="220"/>
      <c r="J249" s="250" t="str" cm="1">
        <f t="array" aca="1" ref="J249" ca="1">IFERROR(INDEX(_xlfn.ANCHORARRAY($S$12),ROW()-12+1),"")</f>
        <v>NXST</v>
      </c>
      <c r="K249" s="70">
        <f ca="1">IF(Tabla16[[#This Row],[Ticker]]="",0,SUMIF(Tablaholdings[Ticker],Tabla16[[#This Row],[Ticker]],Tablaholdings[Peso Real en Portafolio])/100)</f>
        <v>4.3403799812428436E-4</v>
      </c>
      <c r="L249" s="220"/>
      <c r="M249" s="220"/>
      <c r="N249" s="220"/>
      <c r="O249" s="220"/>
      <c r="P249" s="220"/>
      <c r="Q249" s="220"/>
      <c r="S249" s="227" t="str">
        <f ca="1"/>
        <v>NXST</v>
      </c>
      <c r="AB249" s="14" t="s">
        <v>844</v>
      </c>
    </row>
    <row r="250" spans="1:28" ht="30" customHeight="1" x14ac:dyDescent="0.55000000000000004">
      <c r="A250" s="245" t="s">
        <v>845</v>
      </c>
      <c r="B250" s="246" t="s">
        <v>846</v>
      </c>
      <c r="C250" s="247">
        <v>1.0220999999999999E-2</v>
      </c>
      <c r="D250" s="248">
        <f t="shared" si="6"/>
        <v>1.0220999999999999E-4</v>
      </c>
      <c r="E250" s="69">
        <f t="shared" ca="1" si="7"/>
        <v>4.1042911348759268E-3</v>
      </c>
      <c r="F250" s="249" t="s">
        <v>37</v>
      </c>
      <c r="G250" s="220"/>
      <c r="H250" s="220"/>
      <c r="I250" s="220"/>
      <c r="J250" s="250" t="str" cm="1">
        <f t="array" aca="1" ref="J250" ca="1">IFERROR(INDEX(_xlfn.ANCHORARRAY($S$12),ROW()-12+1),"")</f>
        <v>FICO</v>
      </c>
      <c r="K250" s="70">
        <f ca="1">IF(Tabla16[[#This Row],[Ticker]]="",0,SUMIF(Tablaholdings[Ticker],Tabla16[[#This Row],[Ticker]],Tablaholdings[Peso Real en Portafolio])/100)</f>
        <v>4.3224158013350513E-4</v>
      </c>
      <c r="L250" s="220"/>
      <c r="M250" s="220"/>
      <c r="N250" s="220"/>
      <c r="O250" s="220"/>
      <c r="P250" s="220"/>
      <c r="Q250" s="220"/>
      <c r="S250" s="227" t="str">
        <f ca="1"/>
        <v>FICO</v>
      </c>
      <c r="AB250" s="14" t="s">
        <v>847</v>
      </c>
    </row>
    <row r="251" spans="1:28" ht="30" customHeight="1" x14ac:dyDescent="0.55000000000000004">
      <c r="A251" s="251" t="s">
        <v>848</v>
      </c>
      <c r="B251" s="252" t="s">
        <v>849</v>
      </c>
      <c r="C251" s="140">
        <v>1.3985065922</v>
      </c>
      <c r="D251" s="248">
        <f t="shared" si="6"/>
        <v>1.3985065922E-2</v>
      </c>
      <c r="E251" s="69">
        <f t="shared" ca="1" si="7"/>
        <v>0.41974280777859757</v>
      </c>
      <c r="F251" s="249" t="s">
        <v>38</v>
      </c>
      <c r="G251" s="220"/>
      <c r="H251" s="220"/>
      <c r="I251" s="220"/>
      <c r="J251" s="250" t="str" cm="1">
        <f t="array" aca="1" ref="J251" ca="1">IFERROR(INDEX(_xlfn.ANCHORARRAY($S$12),ROW()-12+1),"")</f>
        <v>ROST</v>
      </c>
      <c r="K251" s="70">
        <f ca="1">IF(Tabla16[[#This Row],[Ticker]]="",0,SUMIF(Tablaholdings[Ticker],Tabla16[[#This Row],[Ticker]],Tablaholdings[Peso Real en Portafolio])/100)</f>
        <v>4.3057109991997473E-4</v>
      </c>
      <c r="L251" s="220"/>
      <c r="M251" s="220"/>
      <c r="N251" s="220"/>
      <c r="O251" s="220"/>
      <c r="P251" s="220"/>
      <c r="Q251" s="220"/>
      <c r="S251" s="227" t="str">
        <f ca="1"/>
        <v>ROST</v>
      </c>
      <c r="AB251" s="14" t="s">
        <v>850</v>
      </c>
    </row>
    <row r="252" spans="1:28" ht="30" customHeight="1" x14ac:dyDescent="0.55000000000000004">
      <c r="A252" s="245" t="s">
        <v>848</v>
      </c>
      <c r="B252" s="246" t="s">
        <v>849</v>
      </c>
      <c r="C252" s="247">
        <v>8.4425E-2</v>
      </c>
      <c r="D252" s="248">
        <f t="shared" si="6"/>
        <v>8.4424999999999995E-4</v>
      </c>
      <c r="E252" s="69">
        <f t="shared" ca="1" si="7"/>
        <v>3.3901260058888577E-2</v>
      </c>
      <c r="F252" s="249" t="s">
        <v>37</v>
      </c>
      <c r="G252" s="220"/>
      <c r="H252" s="220"/>
      <c r="I252" s="220"/>
      <c r="J252" s="253" t="str" cm="1">
        <f t="array" aca="1" ref="J252" ca="1">IFERROR(INDEX(_xlfn.ANCHORARRAY($S$12),ROW()-12+1),"")</f>
        <v>GM</v>
      </c>
      <c r="K252" s="70">
        <f ca="1">IF(Tabla16[[#This Row],[Ticker]]="",0,SUMIF(Tablaholdings[Ticker],Tabla16[[#This Row],[Ticker]],Tablaholdings[Peso Real en Portafolio])/100)</f>
        <v>4.3055503772983727E-4</v>
      </c>
      <c r="L252" s="220"/>
      <c r="M252" s="220"/>
      <c r="N252" s="220"/>
      <c r="O252" s="220"/>
      <c r="P252" s="220"/>
      <c r="Q252" s="220"/>
      <c r="S252" s="227" t="str">
        <f ca="1"/>
        <v>GM</v>
      </c>
      <c r="AB252" s="14" t="s">
        <v>851</v>
      </c>
    </row>
    <row r="253" spans="1:28" ht="30" customHeight="1" x14ac:dyDescent="0.55000000000000004">
      <c r="A253" s="251" t="s">
        <v>852</v>
      </c>
      <c r="B253" s="252" t="s">
        <v>853</v>
      </c>
      <c r="C253" s="140">
        <v>7.8747081900000002E-2</v>
      </c>
      <c r="D253" s="248">
        <f t="shared" si="6"/>
        <v>7.8747081900000006E-4</v>
      </c>
      <c r="E253" s="69">
        <f t="shared" ca="1" si="7"/>
        <v>2.3490947015196668E-2</v>
      </c>
      <c r="F253" s="249" t="s">
        <v>39</v>
      </c>
      <c r="G253" s="220"/>
      <c r="H253" s="220"/>
      <c r="I253" s="220"/>
      <c r="J253" s="250" t="str" cm="1">
        <f t="array" aca="1" ref="J253" ca="1">IFERROR(INDEX(_xlfn.ANCHORARRAY($S$12),ROW()-12+1),"")</f>
        <v>APD</v>
      </c>
      <c r="K253" s="70">
        <f ca="1">IF(Tabla16[[#This Row],[Ticker]]="",0,SUMIF(Tablaholdings[Ticker],Tabla16[[#This Row],[Ticker]],Tablaholdings[Peso Real en Portafolio])/100)</f>
        <v>4.2847096855950113E-4</v>
      </c>
      <c r="L253" s="220"/>
      <c r="M253" s="220"/>
      <c r="N253" s="220"/>
      <c r="O253" s="220"/>
      <c r="P253" s="220"/>
      <c r="Q253" s="220"/>
      <c r="S253" s="227" t="str">
        <f ca="1"/>
        <v>APD</v>
      </c>
      <c r="AB253" s="14" t="s">
        <v>854</v>
      </c>
    </row>
    <row r="254" spans="1:28" ht="30" customHeight="1" x14ac:dyDescent="0.55000000000000004">
      <c r="A254" s="245" t="s">
        <v>852</v>
      </c>
      <c r="B254" s="246" t="s">
        <v>853</v>
      </c>
      <c r="C254" s="247">
        <v>3.5215999999999997E-2</v>
      </c>
      <c r="D254" s="248">
        <f t="shared" si="6"/>
        <v>3.5215999999999996E-4</v>
      </c>
      <c r="E254" s="69">
        <f t="shared" ca="1" si="7"/>
        <v>1.4141152197024817E-2</v>
      </c>
      <c r="F254" s="249" t="s">
        <v>37</v>
      </c>
      <c r="G254" s="220"/>
      <c r="H254" s="220"/>
      <c r="I254" s="220"/>
      <c r="J254" s="250" t="str" cm="1">
        <f t="array" aca="1" ref="J254" ca="1">IFERROR(INDEX(_xlfn.ANCHORARRAY($S$12),ROW()-12+1),"")</f>
        <v>WDAY</v>
      </c>
      <c r="K254" s="70">
        <f ca="1">IF(Tabla16[[#This Row],[Ticker]]="",0,SUMIF(Tablaholdings[Ticker],Tabla16[[#This Row],[Ticker]],Tablaholdings[Peso Real en Portafolio])/100)</f>
        <v>4.2517730982805953E-4</v>
      </c>
      <c r="L254" s="220"/>
      <c r="M254" s="220"/>
      <c r="N254" s="220"/>
      <c r="O254" s="220"/>
      <c r="P254" s="220"/>
      <c r="Q254" s="220"/>
      <c r="S254" s="227" t="str">
        <f ca="1"/>
        <v>WDAY</v>
      </c>
      <c r="AB254" s="14" t="s">
        <v>855</v>
      </c>
    </row>
    <row r="255" spans="1:28" ht="30" customHeight="1" x14ac:dyDescent="0.55000000000000004">
      <c r="A255" s="245" t="s">
        <v>856</v>
      </c>
      <c r="B255" s="246" t="s">
        <v>857</v>
      </c>
      <c r="C255" s="247">
        <v>7.0549000000000001E-2</v>
      </c>
      <c r="D255" s="248">
        <f t="shared" si="6"/>
        <v>7.0549000000000002E-4</v>
      </c>
      <c r="E255" s="69">
        <f t="shared" ca="1" si="7"/>
        <v>2.8329286300201723E-2</v>
      </c>
      <c r="F255" s="249" t="s">
        <v>37</v>
      </c>
      <c r="G255" s="220"/>
      <c r="H255" s="220"/>
      <c r="I255" s="220"/>
      <c r="J255" s="250" t="str" cm="1">
        <f t="array" aca="1" ref="J255" ca="1">IFERROR(INDEX(_xlfn.ANCHORARRAY($S$12),ROW()-12+1),"")</f>
        <v>WBD</v>
      </c>
      <c r="K255" s="70">
        <f ca="1">IF(Tabla16[[#This Row],[Ticker]]="",0,SUMIF(Tablaholdings[Ticker],Tabla16[[#This Row],[Ticker]],Tablaholdings[Peso Real en Portafolio])/100)</f>
        <v>4.2469233832966225E-4</v>
      </c>
      <c r="L255" s="220"/>
      <c r="M255" s="220"/>
      <c r="N255" s="220"/>
      <c r="O255" s="220"/>
      <c r="P255" s="220"/>
      <c r="Q255" s="220"/>
      <c r="S255" s="227" t="str">
        <f ca="1"/>
        <v>WBD</v>
      </c>
      <c r="AB255" s="14" t="s">
        <v>858</v>
      </c>
    </row>
    <row r="256" spans="1:28" ht="30" customHeight="1" x14ac:dyDescent="0.55000000000000004">
      <c r="A256" s="245" t="s">
        <v>859</v>
      </c>
      <c r="B256" s="246" t="s">
        <v>860</v>
      </c>
      <c r="C256" s="247">
        <v>8.0019000000000007E-2</v>
      </c>
      <c r="D256" s="248">
        <f t="shared" si="6"/>
        <v>8.001900000000001E-4</v>
      </c>
      <c r="E256" s="69">
        <f t="shared" ca="1" si="7"/>
        <v>3.2132009815246734E-2</v>
      </c>
      <c r="F256" s="249" t="s">
        <v>37</v>
      </c>
      <c r="G256" s="220"/>
      <c r="H256" s="220"/>
      <c r="I256" s="220"/>
      <c r="J256" s="250" t="str" cm="1">
        <f t="array" aca="1" ref="J256" ca="1">IFERROR(INDEX(_xlfn.ANCHORARRAY($S$12),ROW()-12+1),"")</f>
        <v>HCA</v>
      </c>
      <c r="K256" s="70">
        <f ca="1">IF(Tabla16[[#This Row],[Ticker]]="",0,SUMIF(Tablaholdings[Ticker],Tabla16[[#This Row],[Ticker]],Tablaholdings[Peso Real en Portafolio])/100)</f>
        <v>4.215039935873754E-4</v>
      </c>
      <c r="L256" s="220"/>
      <c r="M256" s="220"/>
      <c r="N256" s="220"/>
      <c r="O256" s="220"/>
      <c r="P256" s="220"/>
      <c r="Q256" s="220"/>
      <c r="S256" s="227" t="str">
        <f ca="1"/>
        <v>HCA</v>
      </c>
      <c r="AB256" s="14" t="s">
        <v>861</v>
      </c>
    </row>
    <row r="257" spans="1:28" ht="30" customHeight="1" x14ac:dyDescent="0.55000000000000004">
      <c r="A257" s="251" t="s">
        <v>862</v>
      </c>
      <c r="B257" s="252" t="s">
        <v>863</v>
      </c>
      <c r="C257" s="140">
        <v>1.3296071200000001E-2</v>
      </c>
      <c r="D257" s="248">
        <f t="shared" si="6"/>
        <v>1.32960712E-4</v>
      </c>
      <c r="E257" s="69">
        <f t="shared" ca="1" si="7"/>
        <v>3.9906356459376777E-3</v>
      </c>
      <c r="F257" s="249" t="s">
        <v>38</v>
      </c>
      <c r="G257" s="220"/>
      <c r="H257" s="220"/>
      <c r="I257" s="220"/>
      <c r="J257" s="250" t="str" cm="1">
        <f t="array" aca="1" ref="J257" ca="1">IFERROR(INDEX(_xlfn.ANCHORARRAY($S$12),ROW()-12+1),"")</f>
        <v>AON</v>
      </c>
      <c r="K257" s="70">
        <f ca="1">IF(Tabla16[[#This Row],[Ticker]]="",0,SUMIF(Tablaholdings[Ticker],Tabla16[[#This Row],[Ticker]],Tablaholdings[Peso Real en Portafolio])/100)</f>
        <v>4.1980140143280402E-4</v>
      </c>
      <c r="L257" s="220"/>
      <c r="M257" s="220"/>
      <c r="N257" s="220"/>
      <c r="O257" s="220"/>
      <c r="P257" s="220"/>
      <c r="Q257" s="220"/>
      <c r="S257" s="227" t="str">
        <f ca="1"/>
        <v>AON</v>
      </c>
      <c r="AB257" s="14" t="s">
        <v>864</v>
      </c>
    </row>
    <row r="258" spans="1:28" ht="30" customHeight="1" x14ac:dyDescent="0.55000000000000004">
      <c r="A258" s="245" t="s">
        <v>865</v>
      </c>
      <c r="B258" s="246" t="s">
        <v>866</v>
      </c>
      <c r="C258" s="247">
        <v>9.9697999999999995E-2</v>
      </c>
      <c r="D258" s="248">
        <f t="shared" si="6"/>
        <v>9.9697999999999996E-4</v>
      </c>
      <c r="E258" s="69">
        <f t="shared" ca="1" si="7"/>
        <v>4.0034205808126423E-2</v>
      </c>
      <c r="F258" s="249" t="s">
        <v>37</v>
      </c>
      <c r="G258" s="220"/>
      <c r="H258" s="220"/>
      <c r="I258" s="220"/>
      <c r="J258" s="250" t="str" cm="1">
        <f t="array" aca="1" ref="J258" ca="1">IFERROR(INDEX(_xlfn.ANCHORARRAY($S$12),ROW()-12+1),"")</f>
        <v>RCL</v>
      </c>
      <c r="K258" s="70">
        <f ca="1">IF(Tabla16[[#This Row],[Ticker]]="",0,SUMIF(Tablaholdings[Ticker],Tabla16[[#This Row],[Ticker]],Tablaholdings[Peso Real en Portafolio])/100)</f>
        <v>4.1777756547548326E-4</v>
      </c>
      <c r="L258" s="220"/>
      <c r="M258" s="220"/>
      <c r="N258" s="220"/>
      <c r="O258" s="220"/>
      <c r="P258" s="220"/>
      <c r="Q258" s="220"/>
      <c r="S258" s="227" t="str">
        <f ca="1"/>
        <v>RCL</v>
      </c>
      <c r="AB258" s="14" t="s">
        <v>867</v>
      </c>
    </row>
    <row r="259" spans="1:28" ht="30" customHeight="1" x14ac:dyDescent="0.55000000000000004">
      <c r="A259" s="245" t="s">
        <v>868</v>
      </c>
      <c r="B259" s="246" t="s">
        <v>869</v>
      </c>
      <c r="C259" s="247">
        <v>6.0010000000000001E-2</v>
      </c>
      <c r="D259" s="248">
        <f t="shared" si="6"/>
        <v>6.001E-4</v>
      </c>
      <c r="E259" s="69">
        <f t="shared" ca="1" si="7"/>
        <v>2.4097300753732943E-2</v>
      </c>
      <c r="F259" s="249" t="s">
        <v>37</v>
      </c>
      <c r="G259" s="220"/>
      <c r="H259" s="220"/>
      <c r="I259" s="220"/>
      <c r="J259" s="250" t="str" cm="1">
        <f t="array" aca="1" ref="J259" ca="1">IFERROR(INDEX(_xlfn.ANCHORARRAY($S$12),ROW()-12+1),"")</f>
        <v>MSI</v>
      </c>
      <c r="K259" s="70">
        <f ca="1">IF(Tabla16[[#This Row],[Ticker]]="",0,SUMIF(Tablaholdings[Ticker],Tabla16[[#This Row],[Ticker]],Tablaholdings[Peso Real en Portafolio])/100)</f>
        <v>4.1448883204483718E-4</v>
      </c>
      <c r="L259" s="220"/>
      <c r="M259" s="220"/>
      <c r="N259" s="220"/>
      <c r="O259" s="220"/>
      <c r="P259" s="220"/>
      <c r="Q259" s="220"/>
      <c r="S259" s="227" t="str">
        <f ca="1"/>
        <v>MSI</v>
      </c>
      <c r="AB259" s="14" t="s">
        <v>870</v>
      </c>
    </row>
    <row r="260" spans="1:28" ht="30" customHeight="1" x14ac:dyDescent="0.55000000000000004">
      <c r="A260" s="251" t="s">
        <v>871</v>
      </c>
      <c r="B260" s="252" t="s">
        <v>872</v>
      </c>
      <c r="C260" s="140">
        <v>6.6877038999999999E-2</v>
      </c>
      <c r="D260" s="248">
        <f t="shared" si="6"/>
        <v>6.6877039000000002E-4</v>
      </c>
      <c r="E260" s="69">
        <f t="shared" ca="1" si="7"/>
        <v>1.995000883559396E-2</v>
      </c>
      <c r="F260" s="249" t="s">
        <v>39</v>
      </c>
      <c r="G260" s="220"/>
      <c r="H260" s="220"/>
      <c r="I260" s="220"/>
      <c r="J260" s="253" t="str" cm="1">
        <f t="array" aca="1" ref="J260" ca="1">IFERROR(INDEX(_xlfn.ANCHORARRAY($S$12),ROW()-12+1),"")</f>
        <v>ITW</v>
      </c>
      <c r="K260" s="70">
        <f ca="1">IF(Tabla16[[#This Row],[Ticker]]="",0,SUMIF(Tablaholdings[Ticker],Tabla16[[#This Row],[Ticker]],Tablaholdings[Peso Real en Portafolio])/100)</f>
        <v>4.121236745470954E-4</v>
      </c>
      <c r="L260" s="220"/>
      <c r="M260" s="220"/>
      <c r="N260" s="220"/>
      <c r="O260" s="220"/>
      <c r="P260" s="220"/>
      <c r="Q260" s="220"/>
      <c r="S260" s="227" t="str">
        <f ca="1"/>
        <v>ITW</v>
      </c>
      <c r="AB260" s="14" t="s">
        <v>873</v>
      </c>
    </row>
    <row r="261" spans="1:28" ht="30" customHeight="1" x14ac:dyDescent="0.55000000000000004">
      <c r="A261" s="245" t="s">
        <v>871</v>
      </c>
      <c r="B261" s="246" t="s">
        <v>872</v>
      </c>
      <c r="C261" s="247">
        <v>3.0034999999999999E-2</v>
      </c>
      <c r="D261" s="248">
        <f t="shared" si="6"/>
        <v>3.0035000000000001E-4</v>
      </c>
      <c r="E261" s="69">
        <f t="shared" ca="1" si="7"/>
        <v>1.206069701946957E-2</v>
      </c>
      <c r="F261" s="249" t="s">
        <v>37</v>
      </c>
      <c r="G261" s="220"/>
      <c r="H261" s="220"/>
      <c r="I261" s="220"/>
      <c r="J261" s="250" t="str" cm="1">
        <f t="array" aca="1" ref="J261" ca="1">IFERROR(INDEX(_xlfn.ANCHORARRAY($S$12),ROW()-12+1),"")</f>
        <v>SPG</v>
      </c>
      <c r="K261" s="70">
        <f ca="1">IF(Tabla16[[#This Row],[Ticker]]="",0,SUMIF(Tablaholdings[Ticker],Tabla16[[#This Row],[Ticker]],Tablaholdings[Peso Real en Portafolio])/100)</f>
        <v>4.1013999406511843E-4</v>
      </c>
      <c r="L261" s="220"/>
      <c r="M261" s="220"/>
      <c r="N261" s="220"/>
      <c r="O261" s="220"/>
      <c r="P261" s="220"/>
      <c r="Q261" s="220"/>
      <c r="S261" s="227" t="str">
        <f ca="1"/>
        <v>SPG</v>
      </c>
      <c r="AB261" s="14" t="s">
        <v>874</v>
      </c>
    </row>
    <row r="262" spans="1:28" ht="30" customHeight="1" x14ac:dyDescent="0.55000000000000004">
      <c r="A262" s="245" t="s">
        <v>875</v>
      </c>
      <c r="B262" s="246" t="s">
        <v>876</v>
      </c>
      <c r="C262" s="247">
        <v>2.2324E-2</v>
      </c>
      <c r="D262" s="248">
        <f t="shared" si="6"/>
        <v>2.2324000000000001E-4</v>
      </c>
      <c r="E262" s="69">
        <f t="shared" ca="1" si="7"/>
        <v>8.9643083157196161E-3</v>
      </c>
      <c r="F262" s="249" t="s">
        <v>37</v>
      </c>
      <c r="G262" s="220"/>
      <c r="H262" s="220"/>
      <c r="I262" s="220"/>
      <c r="J262" s="250" t="str" cm="1">
        <f t="array" aca="1" ref="J262" ca="1">IFERROR(INDEX(_xlfn.ANCHORARRAY($S$12),ROW()-12+1),"")</f>
        <v>ALNY</v>
      </c>
      <c r="K262" s="70">
        <f ca="1">IF(Tabla16[[#This Row],[Ticker]]="",0,SUMIF(Tablaholdings[Ticker],Tabla16[[#This Row],[Ticker]],Tablaholdings[Peso Real en Portafolio])/100)</f>
        <v>4.0995934047134155E-4</v>
      </c>
      <c r="L262" s="220"/>
      <c r="M262" s="220"/>
      <c r="N262" s="220"/>
      <c r="O262" s="220"/>
      <c r="P262" s="220"/>
      <c r="Q262" s="220"/>
      <c r="S262" s="227" t="str">
        <f ca="1"/>
        <v>ALNY</v>
      </c>
      <c r="AB262" s="14" t="s">
        <v>877</v>
      </c>
    </row>
    <row r="263" spans="1:28" ht="30" customHeight="1" x14ac:dyDescent="0.55000000000000004">
      <c r="A263" s="245" t="s">
        <v>878</v>
      </c>
      <c r="B263" s="246" t="s">
        <v>879</v>
      </c>
      <c r="C263" s="247">
        <v>4.2473999999999998E-2</v>
      </c>
      <c r="D263" s="248">
        <f t="shared" si="6"/>
        <v>4.2474E-4</v>
      </c>
      <c r="E263" s="69">
        <f t="shared" ca="1" si="7"/>
        <v>1.705563659746797E-2</v>
      </c>
      <c r="F263" s="249" t="s">
        <v>37</v>
      </c>
      <c r="G263" s="220"/>
      <c r="H263" s="220"/>
      <c r="I263" s="220"/>
      <c r="J263" s="250" t="str" cm="1">
        <f t="array" aca="1" ref="J263" ca="1">IFERROR(INDEX(_xlfn.ANCHORARRAY($S$12),ROW()-12+1),"")</f>
        <v>KMI</v>
      </c>
      <c r="K263" s="70">
        <f ca="1">IF(Tabla16[[#This Row],[Ticker]]="",0,SUMIF(Tablaholdings[Ticker],Tabla16[[#This Row],[Ticker]],Tablaholdings[Peso Real en Portafolio])/100)</f>
        <v>4.0396408195726279E-4</v>
      </c>
      <c r="L263" s="220"/>
      <c r="M263" s="220"/>
      <c r="N263" s="220"/>
      <c r="O263" s="220"/>
      <c r="P263" s="220"/>
      <c r="Q263" s="220"/>
      <c r="S263" s="227" t="str">
        <f ca="1"/>
        <v>KMI</v>
      </c>
      <c r="AB263" s="14" t="s">
        <v>880</v>
      </c>
    </row>
    <row r="264" spans="1:28" ht="30" customHeight="1" x14ac:dyDescent="0.55000000000000004">
      <c r="A264" s="245" t="s">
        <v>881</v>
      </c>
      <c r="B264" s="246" t="s">
        <v>882</v>
      </c>
      <c r="C264" s="247">
        <v>3.1787000000000003E-2</v>
      </c>
      <c r="D264" s="248">
        <f t="shared" si="6"/>
        <v>3.1787000000000004E-4</v>
      </c>
      <c r="E264" s="69">
        <f t="shared" ca="1" si="7"/>
        <v>1.276422094749057E-2</v>
      </c>
      <c r="F264" s="249" t="s">
        <v>37</v>
      </c>
      <c r="G264" s="220"/>
      <c r="H264" s="220"/>
      <c r="I264" s="220"/>
      <c r="J264" s="250" t="str" cm="1">
        <f t="array" aca="1" ref="J264" ca="1">IFERROR(INDEX(_xlfn.ANCHORARRAY($S$12),ROW()-12+1),"")</f>
        <v>MUR</v>
      </c>
      <c r="K264" s="70">
        <f ca="1">IF(Tabla16[[#This Row],[Ticker]]="",0,SUMIF(Tablaholdings[Ticker],Tabla16[[#This Row],[Ticker]],Tablaholdings[Peso Real en Portafolio])/100)</f>
        <v>4.0260870524171859E-4</v>
      </c>
      <c r="L264" s="220"/>
      <c r="M264" s="220"/>
      <c r="N264" s="220"/>
      <c r="O264" s="220"/>
      <c r="P264" s="220"/>
      <c r="Q264" s="220"/>
      <c r="S264" s="227" t="str">
        <f ca="1"/>
        <v>MUR</v>
      </c>
      <c r="AB264" s="14" t="s">
        <v>883</v>
      </c>
    </row>
    <row r="265" spans="1:28" ht="30" customHeight="1" x14ac:dyDescent="0.55000000000000004">
      <c r="A265" s="245" t="s">
        <v>884</v>
      </c>
      <c r="B265" s="246" t="s">
        <v>885</v>
      </c>
      <c r="C265" s="247">
        <v>0.13808100000000001</v>
      </c>
      <c r="D265" s="248">
        <f t="shared" si="6"/>
        <v>1.3808100000000001E-3</v>
      </c>
      <c r="E265" s="69">
        <f t="shared" ca="1" si="7"/>
        <v>5.5447081909285094E-2</v>
      </c>
      <c r="F265" s="249" t="s">
        <v>37</v>
      </c>
      <c r="G265" s="220"/>
      <c r="H265" s="220"/>
      <c r="I265" s="220"/>
      <c r="J265" s="250" t="str" cm="1">
        <f t="array" aca="1" ref="J265" ca="1">IFERROR(INDEX(_xlfn.ANCHORARRAY($S$12),ROW()-12+1),"")</f>
        <v>TRV</v>
      </c>
      <c r="K265" s="70">
        <f ca="1">IF(Tabla16[[#This Row],[Ticker]]="",0,SUMIF(Tablaholdings[Ticker],Tabla16[[#This Row],[Ticker]],Tablaholdings[Peso Real en Portafolio])/100)</f>
        <v>4.0126161846663422E-4</v>
      </c>
      <c r="L265" s="220"/>
      <c r="M265" s="220"/>
      <c r="N265" s="220"/>
      <c r="O265" s="220"/>
      <c r="P265" s="220"/>
      <c r="Q265" s="220"/>
      <c r="S265" s="227" t="str">
        <f ca="1"/>
        <v>TRV</v>
      </c>
      <c r="AB265" s="14" t="s">
        <v>886</v>
      </c>
    </row>
    <row r="266" spans="1:28" ht="30" customHeight="1" x14ac:dyDescent="0.55000000000000004">
      <c r="A266" s="251" t="s">
        <v>887</v>
      </c>
      <c r="B266" s="252" t="s">
        <v>888</v>
      </c>
      <c r="C266" s="140">
        <v>0.14811618360000001</v>
      </c>
      <c r="D266" s="248">
        <f t="shared" si="6"/>
        <v>1.4811618360000001E-3</v>
      </c>
      <c r="E266" s="69">
        <f t="shared" ca="1" si="7"/>
        <v>4.4184360068849002E-2</v>
      </c>
      <c r="F266" s="249" t="s">
        <v>39</v>
      </c>
      <c r="G266" s="220"/>
      <c r="H266" s="220"/>
      <c r="I266" s="220"/>
      <c r="J266" s="250" t="str" cm="1">
        <f t="array" aca="1" ref="J266" ca="1">IFERROR(INDEX(_xlfn.ANCHORARRAY($S$12),ROW()-12+1),"")</f>
        <v>ECL</v>
      </c>
      <c r="K266" s="70">
        <f ca="1">IF(Tabla16[[#This Row],[Ticker]]="",0,SUMIF(Tablaholdings[Ticker],Tabla16[[#This Row],[Ticker]],Tablaholdings[Peso Real en Portafolio])/100)</f>
        <v>4.0034205808126423E-4</v>
      </c>
      <c r="L266" s="220"/>
      <c r="M266" s="220"/>
      <c r="N266" s="220"/>
      <c r="O266" s="220"/>
      <c r="P266" s="220"/>
      <c r="Q266" s="220"/>
      <c r="S266" s="227" t="str">
        <f ca="1"/>
        <v>ECL</v>
      </c>
      <c r="AB266" s="14" t="s">
        <v>889</v>
      </c>
    </row>
    <row r="267" spans="1:28" ht="30" customHeight="1" x14ac:dyDescent="0.55000000000000004">
      <c r="A267" s="245" t="s">
        <v>887</v>
      </c>
      <c r="B267" s="246" t="s">
        <v>888</v>
      </c>
      <c r="C267" s="247">
        <v>6.4736000000000002E-2</v>
      </c>
      <c r="D267" s="248">
        <f t="shared" si="6"/>
        <v>6.4736000000000004E-4</v>
      </c>
      <c r="E267" s="69">
        <f t="shared" ca="1" si="7"/>
        <v>2.5995048518474517E-2</v>
      </c>
      <c r="F267" s="249" t="s">
        <v>37</v>
      </c>
      <c r="G267" s="220"/>
      <c r="H267" s="220"/>
      <c r="I267" s="220"/>
      <c r="J267" s="253" t="str" cm="1">
        <f t="array" aca="1" ref="J267" ca="1">IFERROR(INDEX(_xlfn.ANCHORARRAY($S$12),ROW()-12+1),"")</f>
        <v>VEEV</v>
      </c>
      <c r="K267" s="70">
        <f ca="1">IF(Tabla16[[#This Row],[Ticker]]="",0,SUMIF(Tablaholdings[Ticker],Tabla16[[#This Row],[Ticker]],Tablaholdings[Peso Real en Portafolio])/100)</f>
        <v>3.9758350262716099E-4</v>
      </c>
      <c r="L267" s="220"/>
      <c r="M267" s="220"/>
      <c r="N267" s="220"/>
      <c r="O267" s="220"/>
      <c r="P267" s="220"/>
      <c r="Q267" s="220"/>
      <c r="S267" s="227" t="str">
        <f ca="1"/>
        <v>VEEV</v>
      </c>
      <c r="AB267" s="14" t="s">
        <v>890</v>
      </c>
    </row>
    <row r="268" spans="1:28" ht="30" customHeight="1" x14ac:dyDescent="0.55000000000000004">
      <c r="A268" s="245" t="s">
        <v>891</v>
      </c>
      <c r="B268" s="246" t="s">
        <v>892</v>
      </c>
      <c r="C268" s="247">
        <v>0.12118</v>
      </c>
      <c r="D268" s="248">
        <f t="shared" ref="D268:D331" si="8">C268/100</f>
        <v>1.2117999999999999E-3</v>
      </c>
      <c r="E268" s="69">
        <f t="shared" ref="E268:E331" ca="1" si="9">C268 * VLOOKUP(F268, $A$6:$B$8, 2, FALSE)</f>
        <v>4.8660405021452385E-2</v>
      </c>
      <c r="F268" s="249" t="s">
        <v>37</v>
      </c>
      <c r="G268" s="220"/>
      <c r="H268" s="220"/>
      <c r="I268" s="220"/>
      <c r="J268" s="250" t="str" cm="1">
        <f t="array" aca="1" ref="J268" ca="1">IFERROR(INDEX(_xlfn.ANCHORARRAY($S$12),ROW()-12+1),"")</f>
        <v>DLR</v>
      </c>
      <c r="K268" s="70">
        <f ca="1">IF(Tabla16[[#This Row],[Ticker]]="",0,SUMIF(Tablaholdings[Ticker],Tabla16[[#This Row],[Ticker]],Tablaholdings[Peso Real en Portafolio])/100)</f>
        <v>3.9213026337348494E-4</v>
      </c>
      <c r="L268" s="220"/>
      <c r="M268" s="220"/>
      <c r="N268" s="220"/>
      <c r="O268" s="220"/>
      <c r="P268" s="220"/>
      <c r="Q268" s="220"/>
      <c r="S268" s="227" t="str">
        <f ca="1"/>
        <v>DLR</v>
      </c>
      <c r="AB268" s="14" t="s">
        <v>893</v>
      </c>
    </row>
    <row r="269" spans="1:28" ht="30" customHeight="1" x14ac:dyDescent="0.55000000000000004">
      <c r="A269" s="251" t="s">
        <v>894</v>
      </c>
      <c r="B269" s="252" t="s">
        <v>895</v>
      </c>
      <c r="C269" s="140">
        <v>1.8973397021</v>
      </c>
      <c r="D269" s="248">
        <f t="shared" si="8"/>
        <v>1.8973397021E-2</v>
      </c>
      <c r="E269" s="69">
        <f t="shared" ca="1" si="9"/>
        <v>0.56946080791542653</v>
      </c>
      <c r="F269" s="249" t="s">
        <v>38</v>
      </c>
      <c r="G269" s="220"/>
      <c r="H269" s="220"/>
      <c r="I269" s="220"/>
      <c r="J269" s="250" t="str" cm="1">
        <f t="array" aca="1" ref="J269" ca="1">IFERROR(INDEX(_xlfn.ANCHORARRAY($S$12),ROW()-12+1),"")</f>
        <v>KEYS</v>
      </c>
      <c r="K269" s="70">
        <f ca="1">IF(Tabla16[[#This Row],[Ticker]]="",0,SUMIF(Tablaholdings[Ticker],Tabla16[[#This Row],[Ticker]],Tablaholdings[Peso Real en Portafolio])/100)</f>
        <v>3.8999800763273631E-4</v>
      </c>
      <c r="L269" s="220"/>
      <c r="M269" s="220"/>
      <c r="N269" s="220"/>
      <c r="O269" s="220"/>
      <c r="P269" s="220"/>
      <c r="Q269" s="220"/>
      <c r="S269" s="227" t="str">
        <f ca="1"/>
        <v>KEYS</v>
      </c>
      <c r="AB269" s="14" t="s">
        <v>896</v>
      </c>
    </row>
    <row r="270" spans="1:28" ht="30" customHeight="1" x14ac:dyDescent="0.55000000000000004">
      <c r="A270" s="245" t="s">
        <v>894</v>
      </c>
      <c r="B270" s="246" t="s">
        <v>895</v>
      </c>
      <c r="C270" s="247">
        <v>0.114671</v>
      </c>
      <c r="D270" s="248">
        <f t="shared" si="8"/>
        <v>1.14671E-3</v>
      </c>
      <c r="E270" s="69">
        <f t="shared" ca="1" si="9"/>
        <v>4.6046685131333281E-2</v>
      </c>
      <c r="F270" s="249" t="s">
        <v>37</v>
      </c>
      <c r="G270" s="220"/>
      <c r="H270" s="220"/>
      <c r="I270" s="220"/>
      <c r="J270" s="250" t="str" cm="1">
        <f t="array" aca="1" ref="J270" ca="1">IFERROR(INDEX(_xlfn.ANCHORARRAY($S$12),ROW()-12+1),"")</f>
        <v>MNST</v>
      </c>
      <c r="K270" s="70">
        <f ca="1">IF(Tabla16[[#This Row],[Ticker]]="",0,SUMIF(Tablaholdings[Ticker],Tabla16[[#This Row],[Ticker]],Tablaholdings[Peso Real en Portafolio])/100)</f>
        <v>3.8511911737848119E-4</v>
      </c>
      <c r="L270" s="220"/>
      <c r="M270" s="220"/>
      <c r="N270" s="220"/>
      <c r="O270" s="220"/>
      <c r="P270" s="220"/>
      <c r="Q270" s="220"/>
      <c r="S270" s="227" t="str">
        <f ca="1"/>
        <v>MNST</v>
      </c>
      <c r="AB270" s="14" t="s">
        <v>897</v>
      </c>
    </row>
    <row r="271" spans="1:28" ht="30" customHeight="1" x14ac:dyDescent="0.55000000000000004">
      <c r="A271" s="245" t="s">
        <v>898</v>
      </c>
      <c r="B271" s="246" t="s">
        <v>899</v>
      </c>
      <c r="C271" s="247">
        <v>7.8560000000000001E-3</v>
      </c>
      <c r="D271" s="248">
        <f t="shared" si="8"/>
        <v>7.8560000000000007E-5</v>
      </c>
      <c r="E271" s="69">
        <f t="shared" ca="1" si="9"/>
        <v>3.1546141429982669E-3</v>
      </c>
      <c r="F271" s="249" t="s">
        <v>37</v>
      </c>
      <c r="G271" s="220"/>
      <c r="H271" s="220"/>
      <c r="I271" s="220"/>
      <c r="J271" s="250" t="str" cm="1">
        <f t="array" aca="1" ref="J271" ca="1">IFERROR(INDEX(_xlfn.ANCHORARRAY($S$12),ROW()-12+1),"")</f>
        <v>TPL</v>
      </c>
      <c r="K271" s="70">
        <f ca="1">IF(Tabla16[[#This Row],[Ticker]]="",0,SUMIF(Tablaholdings[Ticker],Tabla16[[#This Row],[Ticker]],Tablaholdings[Peso Real en Portafolio])/100)</f>
        <v>3.7809876724602398E-4</v>
      </c>
      <c r="L271" s="220"/>
      <c r="M271" s="220"/>
      <c r="N271" s="220"/>
      <c r="O271" s="220"/>
      <c r="P271" s="220"/>
      <c r="Q271" s="220"/>
      <c r="S271" s="227" t="str">
        <f ca="1"/>
        <v>TPL</v>
      </c>
      <c r="AB271" s="14" t="s">
        <v>900</v>
      </c>
    </row>
    <row r="272" spans="1:28" ht="30" customHeight="1" x14ac:dyDescent="0.55000000000000004">
      <c r="A272" s="251" t="s">
        <v>901</v>
      </c>
      <c r="B272" s="252" t="s">
        <v>902</v>
      </c>
      <c r="C272" s="140">
        <v>0.37582527910000002</v>
      </c>
      <c r="D272" s="248">
        <f t="shared" si="8"/>
        <v>3.758252791E-3</v>
      </c>
      <c r="E272" s="69">
        <f t="shared" ca="1" si="9"/>
        <v>0.11211198567993667</v>
      </c>
      <c r="F272" s="249" t="s">
        <v>39</v>
      </c>
      <c r="G272" s="220"/>
      <c r="H272" s="220"/>
      <c r="I272" s="220"/>
      <c r="J272" s="250" t="str" cm="1">
        <f t="array" aca="1" ref="J272" ca="1">IFERROR(INDEX(_xlfn.ANCHORARRAY($S$12),ROW()-12+1),"")</f>
        <v>OZK</v>
      </c>
      <c r="K272" s="70">
        <f ca="1">IF(Tabla16[[#This Row],[Ticker]]="",0,SUMIF(Tablaholdings[Ticker],Tabla16[[#This Row],[Ticker]],Tablaholdings[Peso Real en Portafolio])/100)</f>
        <v>3.7771391327738255E-4</v>
      </c>
      <c r="L272" s="220"/>
      <c r="M272" s="220"/>
      <c r="N272" s="220"/>
      <c r="O272" s="220"/>
      <c r="P272" s="220"/>
      <c r="Q272" s="220"/>
      <c r="S272" s="227" t="str">
        <f ca="1"/>
        <v>OZK</v>
      </c>
      <c r="AB272" s="14" t="s">
        <v>903</v>
      </c>
    </row>
    <row r="273" spans="1:28" ht="30" customHeight="1" x14ac:dyDescent="0.55000000000000004">
      <c r="A273" s="245" t="s">
        <v>901</v>
      </c>
      <c r="B273" s="246" t="s">
        <v>904</v>
      </c>
      <c r="C273" s="247">
        <v>0.16630300000000001</v>
      </c>
      <c r="D273" s="248">
        <f t="shared" si="8"/>
        <v>1.66303E-3</v>
      </c>
      <c r="E273" s="69">
        <f t="shared" ca="1" si="9"/>
        <v>6.6779760160774027E-2</v>
      </c>
      <c r="F273" s="249" t="s">
        <v>37</v>
      </c>
      <c r="G273" s="220"/>
      <c r="H273" s="220"/>
      <c r="I273" s="220"/>
      <c r="J273" s="250" t="str" cm="1">
        <f t="array" aca="1" ref="J273" ca="1">IFERROR(INDEX(_xlfn.ANCHORARRAY($S$12),ROW()-12+1),"")</f>
        <v>MSM</v>
      </c>
      <c r="K273" s="70">
        <f ca="1">IF(Tabla16[[#This Row],[Ticker]]="",0,SUMIF(Tablaholdings[Ticker],Tabla16[[#This Row],[Ticker]],Tablaholdings[Peso Real en Portafolio])/100)</f>
        <v>3.7730967959826947E-4</v>
      </c>
      <c r="L273" s="220"/>
      <c r="M273" s="220"/>
      <c r="N273" s="220"/>
      <c r="O273" s="220"/>
      <c r="P273" s="220"/>
      <c r="Q273" s="220"/>
      <c r="S273" s="227" t="str">
        <f ca="1"/>
        <v>MSM</v>
      </c>
      <c r="AB273" s="14" t="s">
        <v>905</v>
      </c>
    </row>
    <row r="274" spans="1:28" ht="30" customHeight="1" x14ac:dyDescent="0.55000000000000004">
      <c r="A274" s="245" t="s">
        <v>906</v>
      </c>
      <c r="B274" s="246" t="s">
        <v>907</v>
      </c>
      <c r="C274" s="247">
        <v>3.5473999999999999E-2</v>
      </c>
      <c r="D274" s="248">
        <f t="shared" si="8"/>
        <v>3.5473999999999998E-4</v>
      </c>
      <c r="E274" s="69">
        <f t="shared" ca="1" si="9"/>
        <v>1.424475332341147E-2</v>
      </c>
      <c r="F274" s="249" t="s">
        <v>37</v>
      </c>
      <c r="G274" s="220"/>
      <c r="H274" s="220"/>
      <c r="I274" s="220"/>
      <c r="J274" s="253" t="str" cm="1">
        <f t="array" aca="1" ref="J274" ca="1">IFERROR(INDEX(_xlfn.ANCHORARRAY($S$12),ROW()-12+1),"")</f>
        <v>DXCM</v>
      </c>
      <c r="K274" s="70">
        <f ca="1">IF(Tabla16[[#This Row],[Ticker]]="",0,SUMIF(Tablaholdings[Ticker],Tabla16[[#This Row],[Ticker]],Tablaholdings[Peso Real en Portafolio])/100)</f>
        <v>3.7632099212221487E-4</v>
      </c>
      <c r="L274" s="220"/>
      <c r="M274" s="220"/>
      <c r="N274" s="220"/>
      <c r="O274" s="220"/>
      <c r="P274" s="220"/>
      <c r="Q274" s="220"/>
      <c r="S274" s="227" t="str">
        <f ca="1"/>
        <v>DXCM</v>
      </c>
      <c r="AB274" s="14" t="s">
        <v>908</v>
      </c>
    </row>
    <row r="275" spans="1:28" ht="30" customHeight="1" x14ac:dyDescent="0.55000000000000004">
      <c r="A275" s="245" t="s">
        <v>909</v>
      </c>
      <c r="B275" s="246" t="s">
        <v>910</v>
      </c>
      <c r="C275" s="247">
        <v>5.4725000000000003E-2</v>
      </c>
      <c r="D275" s="248">
        <f t="shared" si="8"/>
        <v>5.4724999999999999E-4</v>
      </c>
      <c r="E275" s="69">
        <f t="shared" ca="1" si="9"/>
        <v>2.1975083881820286E-2</v>
      </c>
      <c r="F275" s="249" t="s">
        <v>37</v>
      </c>
      <c r="G275" s="220"/>
      <c r="H275" s="220"/>
      <c r="I275" s="220"/>
      <c r="J275" s="253" t="str" cm="1">
        <f t="array" aca="1" ref="J275" ca="1">IFERROR(INDEX(_xlfn.ANCHORARRAY($S$12),ROW()-12+1),"")</f>
        <v>SRE</v>
      </c>
      <c r="K275" s="70">
        <f ca="1">IF(Tabla16[[#This Row],[Ticker]]="",0,SUMIF(Tablaholdings[Ticker],Tabla16[[#This Row],[Ticker]],Tablaholdings[Peso Real en Portafolio])/100)</f>
        <v>3.7614436863917216E-4</v>
      </c>
      <c r="L275" s="220"/>
      <c r="M275" s="220"/>
      <c r="N275" s="220"/>
      <c r="O275" s="220"/>
      <c r="P275" s="220"/>
      <c r="Q275" s="220"/>
      <c r="S275" s="227" t="str">
        <f ca="1"/>
        <v>SRE</v>
      </c>
      <c r="AB275" s="14" t="s">
        <v>911</v>
      </c>
    </row>
    <row r="276" spans="1:28" ht="30" customHeight="1" x14ac:dyDescent="0.55000000000000004">
      <c r="A276" s="251" t="s">
        <v>912</v>
      </c>
      <c r="B276" s="252" t="s">
        <v>913</v>
      </c>
      <c r="C276" s="140">
        <v>0.139351322</v>
      </c>
      <c r="D276" s="248">
        <f t="shared" si="8"/>
        <v>1.3935132200000001E-3</v>
      </c>
      <c r="E276" s="69">
        <f t="shared" ca="1" si="9"/>
        <v>4.1824411475905703E-2</v>
      </c>
      <c r="F276" s="249" t="s">
        <v>38</v>
      </c>
      <c r="G276" s="220"/>
      <c r="H276" s="220"/>
      <c r="I276" s="220"/>
      <c r="J276" s="250" t="str" cm="1">
        <f t="array" aca="1" ref="J276" ca="1">IFERROR(INDEX(_xlfn.ANCHORARRAY($S$12),ROW()-12+1),"")</f>
        <v>M</v>
      </c>
      <c r="K276" s="70">
        <f ca="1">IF(Tabla16[[#This Row],[Ticker]]="",0,SUMIF(Tablaholdings[Ticker],Tabla16[[#This Row],[Ticker]],Tablaholdings[Peso Real en Portafolio])/100)</f>
        <v>3.7607430925465146E-4</v>
      </c>
      <c r="L276" s="220"/>
      <c r="M276" s="220"/>
      <c r="N276" s="220"/>
      <c r="O276" s="220"/>
      <c r="P276" s="220"/>
      <c r="Q276" s="220"/>
      <c r="S276" s="227" t="str">
        <f ca="1"/>
        <v>M</v>
      </c>
      <c r="AB276" s="14" t="s">
        <v>914</v>
      </c>
    </row>
    <row r="277" spans="1:28" ht="30" customHeight="1" x14ac:dyDescent="0.55000000000000004">
      <c r="A277" s="245" t="s">
        <v>912</v>
      </c>
      <c r="B277" s="246" t="s">
        <v>915</v>
      </c>
      <c r="C277" s="247">
        <v>8.5769999999999996E-3</v>
      </c>
      <c r="D277" s="248">
        <f t="shared" si="8"/>
        <v>8.577E-5</v>
      </c>
      <c r="E277" s="69">
        <f t="shared" ca="1" si="9"/>
        <v>3.4441351202260861E-3</v>
      </c>
      <c r="F277" s="249" t="s">
        <v>37</v>
      </c>
      <c r="G277" s="220"/>
      <c r="H277" s="220"/>
      <c r="I277" s="220"/>
      <c r="J277" s="253" t="str" cm="1">
        <f t="array" aca="1" ref="J277" ca="1">IFERROR(INDEX(_xlfn.ANCHORARRAY($S$12),ROW()-12+1),"")</f>
        <v>ULTA</v>
      </c>
      <c r="K277" s="70">
        <f ca="1">IF(Tabla16[[#This Row],[Ticker]]="",0,SUMIF(Tablaholdings[Ticker],Tabla16[[#This Row],[Ticker]],Tablaholdings[Peso Real en Portafolio])/100)</f>
        <v>3.720057249474428E-4</v>
      </c>
      <c r="L277" s="220"/>
      <c r="M277" s="220"/>
      <c r="N277" s="220"/>
      <c r="O277" s="220"/>
      <c r="P277" s="220"/>
      <c r="Q277" s="220"/>
      <c r="S277" s="227" t="str">
        <f ca="1"/>
        <v>ULTA</v>
      </c>
      <c r="AB277" s="14" t="s">
        <v>916</v>
      </c>
    </row>
    <row r="278" spans="1:28" ht="30" customHeight="1" x14ac:dyDescent="0.55000000000000004">
      <c r="A278" s="245" t="s">
        <v>917</v>
      </c>
      <c r="B278" s="246" t="s">
        <v>918</v>
      </c>
      <c r="C278" s="247">
        <v>4.0106000000000003E-2</v>
      </c>
      <c r="D278" s="248">
        <f t="shared" si="8"/>
        <v>4.0106000000000001E-4</v>
      </c>
      <c r="E278" s="69">
        <f t="shared" ca="1" si="9"/>
        <v>1.6104754941330002E-2</v>
      </c>
      <c r="F278" s="249" t="s">
        <v>37</v>
      </c>
      <c r="G278" s="220"/>
      <c r="H278" s="220"/>
      <c r="I278" s="220"/>
      <c r="J278" s="250" t="str" cm="1">
        <f t="array" aca="1" ref="J278" ca="1">IFERROR(INDEX(_xlfn.ANCHORARRAY($S$12),ROW()-12+1),"")</f>
        <v>TFC</v>
      </c>
      <c r="K278" s="70">
        <f ca="1">IF(Tabla16[[#This Row],[Ticker]]="",0,SUMIF(Tablaholdings[Ticker],Tabla16[[#This Row],[Ticker]],Tablaholdings[Peso Real en Portafolio])/100)</f>
        <v>3.6964721272856731E-4</v>
      </c>
      <c r="L278" s="220"/>
      <c r="M278" s="220"/>
      <c r="N278" s="220"/>
      <c r="O278" s="220"/>
      <c r="P278" s="220"/>
      <c r="Q278" s="220"/>
      <c r="S278" s="227" t="str">
        <f ca="1"/>
        <v>TFC</v>
      </c>
      <c r="AB278" s="14" t="s">
        <v>919</v>
      </c>
    </row>
    <row r="279" spans="1:28" ht="30" customHeight="1" x14ac:dyDescent="0.55000000000000004">
      <c r="A279" s="245" t="s">
        <v>920</v>
      </c>
      <c r="B279" s="246" t="s">
        <v>921</v>
      </c>
      <c r="C279" s="247">
        <v>1.0175999999999999E-2</v>
      </c>
      <c r="D279" s="248">
        <f t="shared" si="8"/>
        <v>1.0175999999999999E-4</v>
      </c>
      <c r="E279" s="69">
        <f t="shared" ca="1" si="9"/>
        <v>4.0862211709712781E-3</v>
      </c>
      <c r="F279" s="249" t="s">
        <v>37</v>
      </c>
      <c r="G279" s="220"/>
      <c r="H279" s="220"/>
      <c r="I279" s="220"/>
      <c r="J279" s="250" t="str" cm="1">
        <f t="array" aca="1" ref="J279" ca="1">IFERROR(INDEX(_xlfn.ANCHORARRAY($S$12),ROW()-12+1),"")</f>
        <v>MC</v>
      </c>
      <c r="K279" s="70">
        <f ca="1">IF(Tabla16[[#This Row],[Ticker]]="",0,SUMIF(Tablaholdings[Ticker],Tabla16[[#This Row],[Ticker]],Tablaholdings[Peso Real en Portafolio])/100)</f>
        <v>3.6940195146174733E-4</v>
      </c>
      <c r="L279" s="220"/>
      <c r="M279" s="220"/>
      <c r="N279" s="220"/>
      <c r="O279" s="220"/>
      <c r="P279" s="220"/>
      <c r="Q279" s="220"/>
      <c r="S279" s="227" t="str">
        <f ca="1"/>
        <v>MC</v>
      </c>
      <c r="AB279" s="14" t="s">
        <v>922</v>
      </c>
    </row>
    <row r="280" spans="1:28" ht="30" customHeight="1" x14ac:dyDescent="0.55000000000000004">
      <c r="A280" s="245" t="s">
        <v>923</v>
      </c>
      <c r="B280" s="246" t="s">
        <v>924</v>
      </c>
      <c r="C280" s="247">
        <v>2.7449999999999999E-2</v>
      </c>
      <c r="D280" s="248">
        <f t="shared" si="8"/>
        <v>2.745E-4</v>
      </c>
      <c r="E280" s="69">
        <f t="shared" ca="1" si="9"/>
        <v>1.1022677981835849E-2</v>
      </c>
      <c r="F280" s="249" t="s">
        <v>37</v>
      </c>
      <c r="G280" s="220"/>
      <c r="H280" s="220"/>
      <c r="I280" s="220"/>
      <c r="J280" s="250" t="str" cm="1">
        <f t="array" aca="1" ref="J280" ca="1">IFERROR(INDEX(_xlfn.ANCHORARRAY($S$12),ROW()-12+1),"")</f>
        <v>PCAR</v>
      </c>
      <c r="K280" s="70">
        <f ca="1">IF(Tabla16[[#This Row],[Ticker]]="",0,SUMIF(Tablaholdings[Ticker],Tabla16[[#This Row],[Ticker]],Tablaholdings[Peso Real en Portafolio])/100)</f>
        <v>3.6894449191005317E-4</v>
      </c>
      <c r="L280" s="220"/>
      <c r="M280" s="220"/>
      <c r="N280" s="220"/>
      <c r="O280" s="220"/>
      <c r="P280" s="220"/>
      <c r="Q280" s="220"/>
      <c r="S280" s="227" t="str">
        <f ca="1"/>
        <v>PCAR</v>
      </c>
      <c r="AB280" s="14" t="s">
        <v>925</v>
      </c>
    </row>
    <row r="281" spans="1:28" ht="30" customHeight="1" x14ac:dyDescent="0.55000000000000004">
      <c r="A281" s="251" t="s">
        <v>926</v>
      </c>
      <c r="B281" s="252" t="s">
        <v>927</v>
      </c>
      <c r="C281" s="140">
        <v>1.67675594E-2</v>
      </c>
      <c r="D281" s="248">
        <f t="shared" si="8"/>
        <v>1.6767559400000001E-4</v>
      </c>
      <c r="E281" s="69">
        <f t="shared" ca="1" si="9"/>
        <v>5.0019104192299329E-3</v>
      </c>
      <c r="F281" s="249" t="s">
        <v>39</v>
      </c>
      <c r="G281" s="220"/>
      <c r="H281" s="220"/>
      <c r="I281" s="220"/>
      <c r="J281" s="250" t="str" cm="1">
        <f t="array" aca="1" ref="J281" ca="1">IFERROR(INDEX(_xlfn.ANCHORARRAY($S$12),ROW()-12+1),"")</f>
        <v>SBAC</v>
      </c>
      <c r="K281" s="70">
        <f ca="1">IF(Tabla16[[#This Row],[Ticker]]="",0,SUMIF(Tablaholdings[Ticker],Tabla16[[#This Row],[Ticker]],Tablaholdings[Peso Real en Portafolio])/100)</f>
        <v>3.6490222660495204E-4</v>
      </c>
      <c r="L281" s="220"/>
      <c r="M281" s="220"/>
      <c r="N281" s="220"/>
      <c r="O281" s="220"/>
      <c r="P281" s="220"/>
      <c r="Q281" s="220"/>
      <c r="S281" s="227" t="str">
        <f ca="1"/>
        <v>SBAC</v>
      </c>
      <c r="AB281" s="14" t="s">
        <v>928</v>
      </c>
    </row>
    <row r="282" spans="1:28" ht="30" customHeight="1" x14ac:dyDescent="0.55000000000000004">
      <c r="A282" s="251" t="s">
        <v>929</v>
      </c>
      <c r="B282" s="252" t="s">
        <v>930</v>
      </c>
      <c r="C282" s="140">
        <v>1.1246196300000001E-2</v>
      </c>
      <c r="D282" s="248">
        <f t="shared" si="8"/>
        <v>1.1246196300000001E-4</v>
      </c>
      <c r="E282" s="69">
        <f t="shared" ca="1" si="9"/>
        <v>3.375393464799769E-3</v>
      </c>
      <c r="F282" s="249" t="s">
        <v>38</v>
      </c>
      <c r="G282" s="220"/>
      <c r="H282" s="220"/>
      <c r="I282" s="220"/>
      <c r="J282" s="253" t="str" cm="1">
        <f t="array" aca="1" ref="J282" ca="1">IFERROR(INDEX(_xlfn.ANCHORARRAY($S$12),ROW()-12+1),"")</f>
        <v>WST</v>
      </c>
      <c r="K282" s="70">
        <f ca="1">IF(Tabla16[[#This Row],[Ticker]]="",0,SUMIF(Tablaholdings[Ticker],Tabla16[[#This Row],[Ticker]],Tablaholdings[Peso Real en Portafolio])/100)</f>
        <v>3.6445400274324693E-4</v>
      </c>
      <c r="L282" s="220"/>
      <c r="M282" s="220"/>
      <c r="N282" s="220"/>
      <c r="O282" s="220"/>
      <c r="P282" s="220"/>
      <c r="Q282" s="220"/>
      <c r="S282" s="227" t="str">
        <f ca="1"/>
        <v>WST</v>
      </c>
      <c r="AB282" s="14" t="s">
        <v>931</v>
      </c>
    </row>
    <row r="283" spans="1:28" ht="30" customHeight="1" x14ac:dyDescent="0.55000000000000004">
      <c r="A283" s="245" t="s">
        <v>932</v>
      </c>
      <c r="B283" s="246" t="s">
        <v>933</v>
      </c>
      <c r="C283" s="247">
        <v>0.24771299999999999</v>
      </c>
      <c r="D283" s="248">
        <f t="shared" si="8"/>
        <v>2.4771299999999997E-3</v>
      </c>
      <c r="E283" s="69">
        <f t="shared" ca="1" si="9"/>
        <v>9.947033263805112E-2</v>
      </c>
      <c r="F283" s="249" t="s">
        <v>37</v>
      </c>
      <c r="G283" s="220"/>
      <c r="H283" s="220"/>
      <c r="I283" s="220"/>
      <c r="J283" s="250" t="str" cm="1">
        <f t="array" aca="1" ref="J283" ca="1">IFERROR(INDEX(_xlfn.ANCHORARRAY($S$12),ROW()-12+1),"")</f>
        <v>TER</v>
      </c>
      <c r="K283" s="70">
        <f ca="1">IF(Tabla16[[#This Row],[Ticker]]="",0,SUMIF(Tablaholdings[Ticker],Tabla16[[#This Row],[Ticker]],Tablaholdings[Peso Real en Portafolio])/100)</f>
        <v>3.5839966408480686E-4</v>
      </c>
      <c r="L283" s="220"/>
      <c r="M283" s="220"/>
      <c r="N283" s="220"/>
      <c r="O283" s="220"/>
      <c r="P283" s="220"/>
      <c r="Q283" s="220"/>
      <c r="S283" s="227" t="str">
        <f ca="1"/>
        <v>TER</v>
      </c>
      <c r="AB283" s="14" t="s">
        <v>934</v>
      </c>
    </row>
    <row r="284" spans="1:28" ht="30" customHeight="1" x14ac:dyDescent="0.55000000000000004">
      <c r="A284" s="245" t="s">
        <v>935</v>
      </c>
      <c r="B284" s="246" t="s">
        <v>936</v>
      </c>
      <c r="C284" s="247">
        <v>7.9506999999999994E-2</v>
      </c>
      <c r="D284" s="248">
        <f t="shared" si="8"/>
        <v>7.9506999999999993E-4</v>
      </c>
      <c r="E284" s="69">
        <f t="shared" ca="1" si="9"/>
        <v>3.1926413781487167E-2</v>
      </c>
      <c r="F284" s="249" t="s">
        <v>37</v>
      </c>
      <c r="G284" s="220"/>
      <c r="H284" s="220"/>
      <c r="I284" s="220"/>
      <c r="J284" s="250" t="str" cm="1">
        <f t="array" aca="1" ref="J284" ca="1">IFERROR(INDEX(_xlfn.ANCHORARRAY($S$12),ROW()-12+1),"")</f>
        <v>LHX</v>
      </c>
      <c r="K284" s="70">
        <f ca="1">IF(Tabla16[[#This Row],[Ticker]]="",0,SUMIF(Tablaholdings[Ticker],Tabla16[[#This Row],[Ticker]],Tablaholdings[Peso Real en Portafolio])/100)</f>
        <v>3.5835147751439448E-4</v>
      </c>
      <c r="L284" s="220"/>
      <c r="M284" s="220"/>
      <c r="N284" s="220"/>
      <c r="O284" s="220"/>
      <c r="P284" s="220"/>
      <c r="Q284" s="220"/>
      <c r="S284" s="227" t="str">
        <f ca="1"/>
        <v>LHX</v>
      </c>
      <c r="AB284" s="14" t="s">
        <v>937</v>
      </c>
    </row>
    <row r="285" spans="1:28" ht="30" customHeight="1" x14ac:dyDescent="0.55000000000000004">
      <c r="A285" s="245" t="s">
        <v>938</v>
      </c>
      <c r="B285" s="246" t="s">
        <v>939</v>
      </c>
      <c r="C285" s="247">
        <v>2.9741E-2</v>
      </c>
      <c r="D285" s="248">
        <f t="shared" si="8"/>
        <v>2.9741000000000001E-4</v>
      </c>
      <c r="E285" s="69">
        <f t="shared" ca="1" si="9"/>
        <v>1.1942639921959198E-2</v>
      </c>
      <c r="F285" s="249" t="s">
        <v>37</v>
      </c>
      <c r="G285" s="220"/>
      <c r="H285" s="220"/>
      <c r="I285" s="220"/>
      <c r="J285" s="250" t="str" cm="1">
        <f t="array" aca="1" ref="J285" ca="1">IFERROR(INDEX(_xlfn.ANCHORARRAY($S$12),ROW()-12+1),"")</f>
        <v>O</v>
      </c>
      <c r="K285" s="70">
        <f ca="1">IF(Tabla16[[#This Row],[Ticker]]="",0,SUMIF(Tablaholdings[Ticker],Tabla16[[#This Row],[Ticker]],Tablaholdings[Peso Real en Portafolio])/100)</f>
        <v>3.5550445431252876E-4</v>
      </c>
      <c r="L285" s="220"/>
      <c r="M285" s="220"/>
      <c r="N285" s="220"/>
      <c r="O285" s="220"/>
      <c r="P285" s="220"/>
      <c r="Q285" s="220"/>
      <c r="S285" s="227" t="str">
        <f ca="1"/>
        <v>O</v>
      </c>
      <c r="AB285" s="14" t="s">
        <v>940</v>
      </c>
    </row>
    <row r="286" spans="1:28" ht="30" customHeight="1" x14ac:dyDescent="0.55000000000000004">
      <c r="A286" s="245" t="s">
        <v>941</v>
      </c>
      <c r="B286" s="246" t="s">
        <v>942</v>
      </c>
      <c r="C286" s="247">
        <v>7.4039999999999995E-2</v>
      </c>
      <c r="D286" s="248">
        <f t="shared" si="8"/>
        <v>7.404E-4</v>
      </c>
      <c r="E286" s="69">
        <f t="shared" ca="1" si="9"/>
        <v>2.973111394444904E-2</v>
      </c>
      <c r="F286" s="249" t="s">
        <v>37</v>
      </c>
      <c r="G286" s="220"/>
      <c r="H286" s="220"/>
      <c r="I286" s="220"/>
      <c r="J286" s="250" t="str" cm="1">
        <f t="array" aca="1" ref="J286" ca="1">IFERROR(INDEX(_xlfn.ANCHORARRAY($S$12),ROW()-12+1),"")</f>
        <v>ALL</v>
      </c>
      <c r="K286" s="70">
        <f ca="1">IF(Tabla16[[#This Row],[Ticker]]="",0,SUMIF(Tablaholdings[Ticker],Tabla16[[#This Row],[Ticker]],Tablaholdings[Peso Real en Portafolio])/100)</f>
        <v>3.5241649825860086E-4</v>
      </c>
      <c r="L286" s="220"/>
      <c r="M286" s="220"/>
      <c r="N286" s="220"/>
      <c r="O286" s="220"/>
      <c r="P286" s="220"/>
      <c r="Q286" s="220"/>
      <c r="S286" s="227" t="str">
        <f ca="1"/>
        <v>ALL</v>
      </c>
      <c r="AB286" s="14" t="s">
        <v>943</v>
      </c>
    </row>
    <row r="287" spans="1:28" ht="30" customHeight="1" x14ac:dyDescent="0.55000000000000004">
      <c r="A287" s="251" t="s">
        <v>944</v>
      </c>
      <c r="B287" s="252" t="s">
        <v>945</v>
      </c>
      <c r="C287" s="140">
        <v>0.4264039926</v>
      </c>
      <c r="D287" s="248">
        <f t="shared" si="8"/>
        <v>4.2640399259999996E-3</v>
      </c>
      <c r="E287" s="69">
        <f t="shared" ca="1" si="9"/>
        <v>0.12797938179209703</v>
      </c>
      <c r="F287" s="249" t="s">
        <v>38</v>
      </c>
      <c r="G287" s="220"/>
      <c r="H287" s="220"/>
      <c r="I287" s="220"/>
      <c r="J287" s="250" t="str" cm="1">
        <f t="array" aca="1" ref="J287" ca="1">IFERROR(INDEX(_xlfn.ANCHORARRAY($S$12),ROW()-12+1),"")</f>
        <v>CTVA</v>
      </c>
      <c r="K287" s="70">
        <f ca="1">IF(Tabla16[[#This Row],[Ticker]]="",0,SUMIF(Tablaholdings[Ticker],Tabla16[[#This Row],[Ticker]],Tablaholdings[Peso Real en Portafolio])/100)</f>
        <v>3.5208320781324849E-4</v>
      </c>
      <c r="L287" s="220"/>
      <c r="M287" s="220"/>
      <c r="N287" s="220"/>
      <c r="O287" s="220"/>
      <c r="P287" s="220"/>
      <c r="Q287" s="220"/>
      <c r="S287" s="227" t="str">
        <f ca="1"/>
        <v>CTVA</v>
      </c>
      <c r="AB287" s="14" t="s">
        <v>946</v>
      </c>
    </row>
    <row r="288" spans="1:28" ht="30" customHeight="1" x14ac:dyDescent="0.55000000000000004">
      <c r="A288" s="245" t="s">
        <v>947</v>
      </c>
      <c r="B288" s="246" t="s">
        <v>948</v>
      </c>
      <c r="C288" s="247">
        <v>7.0834999999999995E-2</v>
      </c>
      <c r="D288" s="248">
        <f t="shared" si="8"/>
        <v>7.0834999999999995E-4</v>
      </c>
      <c r="E288" s="69">
        <f t="shared" ca="1" si="9"/>
        <v>2.8444130959684601E-2</v>
      </c>
      <c r="F288" s="249" t="s">
        <v>37</v>
      </c>
      <c r="G288" s="220"/>
      <c r="H288" s="220"/>
      <c r="I288" s="220"/>
      <c r="J288" s="250" t="str" cm="1">
        <f t="array" aca="1" ref="J288" ca="1">IFERROR(INDEX(_xlfn.ANCHORARRAY($S$12),ROW()-12+1),"")</f>
        <v>MTD</v>
      </c>
      <c r="K288" s="70">
        <f ca="1">IF(Tabla16[[#This Row],[Ticker]]="",0,SUMIF(Tablaholdings[Ticker],Tabla16[[#This Row],[Ticker]],Tablaholdings[Peso Real en Portafolio])/100)</f>
        <v>3.5169881958943756E-4</v>
      </c>
      <c r="L288" s="220"/>
      <c r="M288" s="220"/>
      <c r="N288" s="220"/>
      <c r="O288" s="220"/>
      <c r="P288" s="220"/>
      <c r="Q288" s="220"/>
      <c r="S288" s="227" t="str">
        <f ca="1"/>
        <v>MTD</v>
      </c>
      <c r="AB288" s="14" t="s">
        <v>949</v>
      </c>
    </row>
    <row r="289" spans="1:28" ht="30" customHeight="1" x14ac:dyDescent="0.55000000000000004">
      <c r="A289" s="245" t="s">
        <v>950</v>
      </c>
      <c r="B289" s="246" t="s">
        <v>951</v>
      </c>
      <c r="C289" s="247">
        <v>3.5383999999999999E-2</v>
      </c>
      <c r="D289" s="248">
        <f t="shared" si="8"/>
        <v>3.5384000000000001E-4</v>
      </c>
      <c r="E289" s="69">
        <f t="shared" ca="1" si="9"/>
        <v>1.4208613395602173E-2</v>
      </c>
      <c r="F289" s="249" t="s">
        <v>37</v>
      </c>
      <c r="G289" s="220"/>
      <c r="H289" s="220"/>
      <c r="I289" s="220"/>
      <c r="J289" s="250" t="str" cm="1">
        <f t="array" aca="1" ref="J289" ca="1">IFERROR(INDEX(_xlfn.ANCHORARRAY($S$12),ROW()-12+1),"")</f>
        <v>CTAS</v>
      </c>
      <c r="K289" s="70">
        <f ca="1">IF(Tabla16[[#This Row],[Ticker]]="",0,SUMIF(Tablaholdings[Ticker],Tabla16[[#This Row],[Ticker]],Tablaholdings[Peso Real en Portafolio])/100)</f>
        <v>3.4944499308316981E-4</v>
      </c>
      <c r="L289" s="220"/>
      <c r="M289" s="220"/>
      <c r="N289" s="220"/>
      <c r="O289" s="220"/>
      <c r="P289" s="220"/>
      <c r="Q289" s="220"/>
      <c r="S289" s="227" t="str">
        <f ca="1"/>
        <v>CTAS</v>
      </c>
      <c r="AB289" s="14" t="s">
        <v>952</v>
      </c>
    </row>
    <row r="290" spans="1:28" ht="30" customHeight="1" x14ac:dyDescent="0.55000000000000004">
      <c r="A290" s="245" t="s">
        <v>953</v>
      </c>
      <c r="B290" s="246" t="s">
        <v>954</v>
      </c>
      <c r="C290" s="247">
        <v>3.2635999999999998E-2</v>
      </c>
      <c r="D290" s="248">
        <f t="shared" si="8"/>
        <v>3.2635999999999999E-4</v>
      </c>
      <c r="E290" s="69">
        <f t="shared" ca="1" si="9"/>
        <v>1.3105140933158278E-2</v>
      </c>
      <c r="F290" s="249" t="s">
        <v>37</v>
      </c>
      <c r="G290" s="220"/>
      <c r="H290" s="220"/>
      <c r="I290" s="220"/>
      <c r="J290" s="250" t="str" cm="1">
        <f t="array" aca="1" ref="J290" ca="1">IFERROR(INDEX(_xlfn.ANCHORARRAY($S$12),ROW()-12+1),"")</f>
        <v>AFL</v>
      </c>
      <c r="K290" s="70">
        <f ca="1">IF(Tabla16[[#This Row],[Ticker]]="",0,SUMIF(Tablaholdings[Ticker],Tabla16[[#This Row],[Ticker]],Tablaholdings[Peso Real en Portafolio])/100)</f>
        <v>3.38675294595999E-4</v>
      </c>
      <c r="L290" s="220"/>
      <c r="M290" s="220"/>
      <c r="N290" s="220"/>
      <c r="O290" s="220"/>
      <c r="P290" s="220"/>
      <c r="Q290" s="220"/>
      <c r="S290" s="227" t="str">
        <f ca="1"/>
        <v>AFL</v>
      </c>
      <c r="AB290" s="14" t="s">
        <v>955</v>
      </c>
    </row>
    <row r="291" spans="1:28" ht="30" customHeight="1" x14ac:dyDescent="0.55000000000000004">
      <c r="A291" s="245" t="s">
        <v>956</v>
      </c>
      <c r="B291" s="246" t="s">
        <v>957</v>
      </c>
      <c r="C291" s="247">
        <v>3.9836000000000003E-2</v>
      </c>
      <c r="D291" s="248">
        <f t="shared" si="8"/>
        <v>3.9836000000000006E-4</v>
      </c>
      <c r="E291" s="69">
        <f t="shared" ca="1" si="9"/>
        <v>1.5996335157902108E-2</v>
      </c>
      <c r="F291" s="249" t="s">
        <v>37</v>
      </c>
      <c r="G291" s="220"/>
      <c r="H291" s="220"/>
      <c r="I291" s="220"/>
      <c r="J291" s="250" t="str" cm="1">
        <f t="array" aca="1" ref="J291" ca="1">IFERROR(INDEX(_xlfn.ANCHORARRAY($S$12),ROW()-12+1),"")</f>
        <v>D</v>
      </c>
      <c r="K291" s="70">
        <f ca="1">IF(Tabla16[[#This Row],[Ticker]]="",0,SUMIF(Tablaholdings[Ticker],Tabla16[[#This Row],[Ticker]],Tablaholdings[Peso Real en Portafolio])/100)</f>
        <v>3.3697671798896202E-4</v>
      </c>
      <c r="L291" s="220"/>
      <c r="M291" s="220"/>
      <c r="N291" s="220"/>
      <c r="O291" s="220"/>
      <c r="P291" s="220"/>
      <c r="Q291" s="220"/>
      <c r="S291" s="227" t="str">
        <f ca="1"/>
        <v>D</v>
      </c>
      <c r="AB291" s="14" t="s">
        <v>958</v>
      </c>
    </row>
    <row r="292" spans="1:28" ht="30" customHeight="1" x14ac:dyDescent="0.55000000000000004">
      <c r="A292" s="245" t="s">
        <v>959</v>
      </c>
      <c r="B292" s="246" t="s">
        <v>960</v>
      </c>
      <c r="C292" s="247">
        <v>4.7434999999999998E-2</v>
      </c>
      <c r="D292" s="248">
        <f t="shared" si="8"/>
        <v>4.7434999999999996E-4</v>
      </c>
      <c r="E292" s="69">
        <f t="shared" ca="1" si="9"/>
        <v>1.9047749729267156E-2</v>
      </c>
      <c r="F292" s="249" t="s">
        <v>37</v>
      </c>
      <c r="G292" s="220"/>
      <c r="H292" s="220"/>
      <c r="I292" s="220"/>
      <c r="J292" s="250" t="str" cm="1">
        <f t="array" aca="1" ref="J292" ca="1">IFERROR(INDEX(_xlfn.ANCHORARRAY($S$12),ROW()-12+1),"")</f>
        <v>AME</v>
      </c>
      <c r="K292" s="70">
        <f ca="1">IF(Tabla16[[#This Row],[Ticker]]="",0,SUMIF(Tablaholdings[Ticker],Tabla16[[#This Row],[Ticker]],Tablaholdings[Peso Real en Portafolio])/100)</f>
        <v>3.3515365940835966E-4</v>
      </c>
      <c r="L292" s="220"/>
      <c r="M292" s="220"/>
      <c r="N292" s="220"/>
      <c r="O292" s="220"/>
      <c r="P292" s="220"/>
      <c r="Q292" s="220"/>
      <c r="S292" s="227" t="str">
        <f ca="1"/>
        <v>AME</v>
      </c>
      <c r="AB292" s="14" t="s">
        <v>961</v>
      </c>
    </row>
    <row r="293" spans="1:28" ht="30" customHeight="1" x14ac:dyDescent="0.55000000000000004">
      <c r="A293" s="251" t="s">
        <v>962</v>
      </c>
      <c r="B293" s="252" t="s">
        <v>963</v>
      </c>
      <c r="C293" s="140">
        <v>1.4590385458999999</v>
      </c>
      <c r="D293" s="248">
        <f t="shared" si="8"/>
        <v>1.4590385458999999E-2</v>
      </c>
      <c r="E293" s="69">
        <f t="shared" ca="1" si="9"/>
        <v>0.43791065364222898</v>
      </c>
      <c r="F293" s="249" t="s">
        <v>38</v>
      </c>
      <c r="G293" s="220"/>
      <c r="H293" s="220"/>
      <c r="I293" s="220"/>
      <c r="J293" s="250" t="str" cm="1">
        <f t="array" aca="1" ref="J293" ca="1">IFERROR(INDEX(_xlfn.ANCHORARRAY($S$12),ROW()-12+1),"")</f>
        <v>NUE</v>
      </c>
      <c r="K293" s="70">
        <f ca="1">IF(Tabla16[[#This Row],[Ticker]]="",0,SUMIF(Tablaholdings[Ticker],Tabla16[[#This Row],[Ticker]],Tablaholdings[Peso Real en Portafolio])/100)</f>
        <v>3.347159647271137E-4</v>
      </c>
      <c r="L293" s="220"/>
      <c r="M293" s="220"/>
      <c r="N293" s="220"/>
      <c r="O293" s="220"/>
      <c r="P293" s="220"/>
      <c r="Q293" s="220"/>
      <c r="S293" s="227" t="str">
        <f ca="1"/>
        <v>NUE</v>
      </c>
      <c r="AB293" s="14" t="s">
        <v>964</v>
      </c>
    </row>
    <row r="294" spans="1:28" ht="30" customHeight="1" x14ac:dyDescent="0.55000000000000004">
      <c r="A294" s="245" t="s">
        <v>962</v>
      </c>
      <c r="B294" s="246" t="s">
        <v>963</v>
      </c>
      <c r="C294" s="247">
        <v>8.3178000000000002E-2</v>
      </c>
      <c r="D294" s="248">
        <f t="shared" si="8"/>
        <v>8.3178000000000006E-4</v>
      </c>
      <c r="E294" s="69">
        <f t="shared" ca="1" si="9"/>
        <v>3.3400521281353089E-2</v>
      </c>
      <c r="F294" s="249" t="s">
        <v>37</v>
      </c>
      <c r="G294" s="220"/>
      <c r="H294" s="220"/>
      <c r="I294" s="220"/>
      <c r="J294" s="250" t="str" cm="1">
        <f t="array" aca="1" ref="J294" ca="1">IFERROR(INDEX(_xlfn.ANCHORARRAY($S$12),ROW()-12+1),"")</f>
        <v>MTN</v>
      </c>
      <c r="K294" s="70">
        <f ca="1">IF(Tabla16[[#This Row],[Ticker]]="",0,SUMIF(Tablaholdings[Ticker],Tabla16[[#This Row],[Ticker]],Tablaholdings[Peso Real en Portafolio])/100)</f>
        <v>3.3450412806094039E-4</v>
      </c>
      <c r="L294" s="220"/>
      <c r="M294" s="220"/>
      <c r="N294" s="220"/>
      <c r="O294" s="220"/>
      <c r="P294" s="220"/>
      <c r="Q294" s="220"/>
      <c r="S294" s="227" t="str">
        <f ca="1"/>
        <v>MTN</v>
      </c>
      <c r="AB294" s="14" t="s">
        <v>965</v>
      </c>
    </row>
    <row r="295" spans="1:28" ht="30" customHeight="1" x14ac:dyDescent="0.55000000000000004">
      <c r="A295" s="245" t="s">
        <v>966</v>
      </c>
      <c r="B295" s="246" t="s">
        <v>967</v>
      </c>
      <c r="C295" s="247">
        <v>6.0691000000000002E-2</v>
      </c>
      <c r="D295" s="248">
        <f t="shared" si="8"/>
        <v>6.0691E-4</v>
      </c>
      <c r="E295" s="69">
        <f t="shared" ca="1" si="9"/>
        <v>2.4370759540823298E-2</v>
      </c>
      <c r="F295" s="249" t="s">
        <v>37</v>
      </c>
      <c r="G295" s="220"/>
      <c r="H295" s="220"/>
      <c r="I295" s="220"/>
      <c r="J295" s="253" t="str" cm="1">
        <f t="array" aca="1" ref="J295" ca="1">IFERROR(INDEX(_xlfn.ANCHORARRAY($S$12),ROW()-12+1),"")</f>
        <v>STZ</v>
      </c>
      <c r="K295" s="70">
        <f ca="1">IF(Tabla16[[#This Row],[Ticker]]="",0,SUMIF(Tablaholdings[Ticker],Tabla16[[#This Row],[Ticker]],Tablaholdings[Peso Real en Portafolio])/100)</f>
        <v>3.3014253967385417E-4</v>
      </c>
      <c r="L295" s="220"/>
      <c r="M295" s="220"/>
      <c r="N295" s="220"/>
      <c r="O295" s="220"/>
      <c r="P295" s="220"/>
      <c r="Q295" s="220"/>
      <c r="S295" s="227" t="str">
        <f ca="1"/>
        <v>STZ</v>
      </c>
      <c r="AB295" s="14" t="s">
        <v>968</v>
      </c>
    </row>
    <row r="296" spans="1:28" ht="30" customHeight="1" x14ac:dyDescent="0.55000000000000004">
      <c r="A296" s="251" t="s">
        <v>969</v>
      </c>
      <c r="B296" s="252" t="s">
        <v>970</v>
      </c>
      <c r="C296" s="140">
        <v>1.298454048</v>
      </c>
      <c r="D296" s="248">
        <f t="shared" si="8"/>
        <v>1.2984540479999999E-2</v>
      </c>
      <c r="E296" s="69">
        <f t="shared" ca="1" si="9"/>
        <v>0.38971339207034872</v>
      </c>
      <c r="F296" s="249" t="s">
        <v>38</v>
      </c>
      <c r="G296" s="220"/>
      <c r="H296" s="220"/>
      <c r="I296" s="220"/>
      <c r="J296" s="250" t="str" cm="1">
        <f t="array" aca="1" ref="J296" ca="1">IFERROR(INDEX(_xlfn.ANCHORARRAY($S$12),ROW()-12+1),"")</f>
        <v>MCHP</v>
      </c>
      <c r="K296" s="70">
        <f ca="1">IF(Tabla16[[#This Row],[Ticker]]="",0,SUMIF(Tablaholdings[Ticker],Tabla16[[#This Row],[Ticker]],Tablaholdings[Peso Real en Portafolio])/100)</f>
        <v>3.287930321139232E-4</v>
      </c>
      <c r="L296" s="220"/>
      <c r="M296" s="220"/>
      <c r="N296" s="220"/>
      <c r="O296" s="220"/>
      <c r="P296" s="220"/>
      <c r="Q296" s="220"/>
      <c r="S296" s="227" t="str">
        <f ca="1"/>
        <v>MCHP</v>
      </c>
      <c r="AB296" s="14" t="s">
        <v>971</v>
      </c>
    </row>
    <row r="297" spans="1:28" ht="30" customHeight="1" x14ac:dyDescent="0.55000000000000004">
      <c r="A297" s="245" t="s">
        <v>969</v>
      </c>
      <c r="B297" s="246" t="s">
        <v>972</v>
      </c>
      <c r="C297" s="247">
        <v>7.8655000000000003E-2</v>
      </c>
      <c r="D297" s="248">
        <f t="shared" si="8"/>
        <v>7.8655000000000001E-4</v>
      </c>
      <c r="E297" s="69">
        <f t="shared" ca="1" si="9"/>
        <v>3.1584289131559154E-2</v>
      </c>
      <c r="F297" s="249" t="s">
        <v>37</v>
      </c>
      <c r="G297" s="220"/>
      <c r="H297" s="220"/>
      <c r="I297" s="220"/>
      <c r="J297" s="250" t="str" cm="1">
        <f t="array" aca="1" ref="J297" ca="1">IFERROR(INDEX(_xlfn.ANCHORARRAY($S$12),ROW()-12+1),"")</f>
        <v>CARR</v>
      </c>
      <c r="K297" s="70">
        <f ca="1">IF(Tabla16[[#This Row],[Ticker]]="",0,SUMIF(Tablaholdings[Ticker],Tabla16[[#This Row],[Ticker]],Tablaholdings[Peso Real en Portafolio])/100)</f>
        <v>3.237414733156903E-4</v>
      </c>
      <c r="L297" s="220"/>
      <c r="M297" s="220"/>
      <c r="N297" s="220"/>
      <c r="O297" s="220"/>
      <c r="P297" s="220"/>
      <c r="Q297" s="220"/>
      <c r="S297" s="227" t="str">
        <f ca="1"/>
        <v>CARR</v>
      </c>
      <c r="AB297" s="14" t="s">
        <v>973</v>
      </c>
    </row>
    <row r="298" spans="1:28" ht="30" customHeight="1" x14ac:dyDescent="0.55000000000000004">
      <c r="A298" s="251" t="s">
        <v>974</v>
      </c>
      <c r="B298" s="252" t="s">
        <v>975</v>
      </c>
      <c r="C298" s="140">
        <v>6.7290489499999995E-2</v>
      </c>
      <c r="D298" s="248">
        <f t="shared" si="8"/>
        <v>6.72904895E-4</v>
      </c>
      <c r="E298" s="69">
        <f t="shared" ca="1" si="9"/>
        <v>2.0073344755536238E-2</v>
      </c>
      <c r="F298" s="249" t="s">
        <v>39</v>
      </c>
      <c r="G298" s="220"/>
      <c r="H298" s="220"/>
      <c r="I298" s="220"/>
      <c r="J298" s="250" t="str" cm="1">
        <f t="array" aca="1" ref="J298" ca="1">IFERROR(INDEX(_xlfn.ANCHORARRAY($S$12),ROW()-12+1),"")</f>
        <v>ROK</v>
      </c>
      <c r="K298" s="70">
        <f ca="1">IF(Tabla16[[#This Row],[Ticker]]="",0,SUMIF(Tablaholdings[Ticker],Tabla16[[#This Row],[Ticker]],Tablaholdings[Peso Real en Portafolio])/100)</f>
        <v>3.2240429598674627E-4</v>
      </c>
      <c r="L298" s="220"/>
      <c r="M298" s="220"/>
      <c r="N298" s="220"/>
      <c r="O298" s="220"/>
      <c r="P298" s="220"/>
      <c r="Q298" s="220"/>
      <c r="S298" s="227" t="str">
        <f ca="1"/>
        <v>ROK</v>
      </c>
      <c r="AB298" s="14" t="s">
        <v>976</v>
      </c>
    </row>
    <row r="299" spans="1:28" ht="30" customHeight="1" x14ac:dyDescent="0.55000000000000004">
      <c r="A299" s="245" t="s">
        <v>977</v>
      </c>
      <c r="B299" s="246" t="s">
        <v>978</v>
      </c>
      <c r="C299" s="247">
        <v>0.15101000000000001</v>
      </c>
      <c r="D299" s="248">
        <f t="shared" si="8"/>
        <v>1.5101000000000001E-3</v>
      </c>
      <c r="E299" s="69">
        <f t="shared" ca="1" si="9"/>
        <v>6.0638783316467451E-2</v>
      </c>
      <c r="F299" s="249" t="s">
        <v>37</v>
      </c>
      <c r="G299" s="220"/>
      <c r="H299" s="220"/>
      <c r="I299" s="220"/>
      <c r="J299" s="250" t="str" cm="1">
        <f t="array" aca="1" ref="J299" ca="1">IFERROR(INDEX(_xlfn.ANCHORARRAY($S$12),ROW()-12+1),"")</f>
        <v>EBAY</v>
      </c>
      <c r="K299" s="70">
        <f ca="1">IF(Tabla16[[#This Row],[Ticker]]="",0,SUMIF(Tablaholdings[Ticker],Tabla16[[#This Row],[Ticker]],Tablaholdings[Peso Real en Portafolio])/100)</f>
        <v>3.2132009815246732E-4</v>
      </c>
      <c r="L299" s="220"/>
      <c r="M299" s="220"/>
      <c r="N299" s="220"/>
      <c r="O299" s="220"/>
      <c r="P299" s="220"/>
      <c r="Q299" s="220"/>
      <c r="S299" s="227" t="str">
        <f ca="1"/>
        <v>EBAY</v>
      </c>
      <c r="AB299" s="14" t="s">
        <v>979</v>
      </c>
    </row>
    <row r="300" spans="1:28" ht="30" customHeight="1" x14ac:dyDescent="0.55000000000000004">
      <c r="A300" s="251" t="s">
        <v>980</v>
      </c>
      <c r="B300" s="252" t="s">
        <v>981</v>
      </c>
      <c r="C300" s="140">
        <v>2.6092432400000001E-2</v>
      </c>
      <c r="D300" s="248">
        <f t="shared" si="8"/>
        <v>2.60924324E-4</v>
      </c>
      <c r="E300" s="69">
        <f t="shared" ca="1" si="9"/>
        <v>7.7836020360012971E-3</v>
      </c>
      <c r="F300" s="249" t="s">
        <v>39</v>
      </c>
      <c r="G300" s="220"/>
      <c r="H300" s="220"/>
      <c r="I300" s="220"/>
      <c r="J300" s="250" t="str" cm="1">
        <f t="array" aca="1" ref="J300" ca="1">IFERROR(INDEX(_xlfn.ANCHORARRAY($S$12),ROW()-12+1),"")</f>
        <v>EFX</v>
      </c>
      <c r="K300" s="70">
        <f ca="1">IF(Tabla16[[#This Row],[Ticker]]="",0,SUMIF(Tablaholdings[Ticker],Tabla16[[#This Row],[Ticker]],Tablaholdings[Peso Real en Portafolio])/100)</f>
        <v>3.2010705855063534E-4</v>
      </c>
      <c r="L300" s="220"/>
      <c r="M300" s="220"/>
      <c r="N300" s="220"/>
      <c r="O300" s="220"/>
      <c r="P300" s="220"/>
      <c r="Q300" s="220"/>
      <c r="S300" s="227" t="str">
        <f ca="1"/>
        <v>EFX</v>
      </c>
      <c r="AB300" s="14" t="s">
        <v>982</v>
      </c>
    </row>
    <row r="301" spans="1:28" ht="30" customHeight="1" x14ac:dyDescent="0.55000000000000004">
      <c r="A301" s="245" t="s">
        <v>980</v>
      </c>
      <c r="B301" s="246" t="s">
        <v>981</v>
      </c>
      <c r="C301" s="247">
        <v>1.1927E-2</v>
      </c>
      <c r="D301" s="248">
        <f t="shared" si="8"/>
        <v>1.1927E-4</v>
      </c>
      <c r="E301" s="69">
        <f t="shared" ca="1" si="9"/>
        <v>4.7893435442388404E-3</v>
      </c>
      <c r="F301" s="249" t="s">
        <v>37</v>
      </c>
      <c r="G301" s="220"/>
      <c r="H301" s="220"/>
      <c r="I301" s="220"/>
      <c r="J301" s="253" t="str" cm="1">
        <f t="array" aca="1" ref="J301" ca="1">IFERROR(INDEX(_xlfn.ANCHORARRAY($S$12),ROW()-12+1),"")</f>
        <v>ALAB</v>
      </c>
      <c r="K301" s="70">
        <f ca="1">IF(Tabla16[[#This Row],[Ticker]]="",0,SUMIF(Tablaholdings[Ticker],Tabla16[[#This Row],[Ticker]],Tablaholdings[Peso Real en Portafolio])/100)</f>
        <v>3.1945284232841895E-4</v>
      </c>
      <c r="L301" s="220"/>
      <c r="M301" s="220"/>
      <c r="N301" s="220"/>
      <c r="O301" s="220"/>
      <c r="P301" s="220"/>
      <c r="Q301" s="220"/>
      <c r="S301" s="227" t="str">
        <f ca="1"/>
        <v>ALAB</v>
      </c>
      <c r="AB301" s="14" t="s">
        <v>983</v>
      </c>
    </row>
    <row r="302" spans="1:28" ht="30" customHeight="1" x14ac:dyDescent="0.55000000000000004">
      <c r="A302" s="245" t="s">
        <v>984</v>
      </c>
      <c r="B302" s="246" t="s">
        <v>985</v>
      </c>
      <c r="C302" s="247">
        <v>0.12526100000000001</v>
      </c>
      <c r="D302" s="248">
        <f t="shared" si="8"/>
        <v>1.2526100000000001E-3</v>
      </c>
      <c r="E302" s="69">
        <f t="shared" ca="1" si="9"/>
        <v>5.0299149970227337E-2</v>
      </c>
      <c r="F302" s="249" t="s">
        <v>37</v>
      </c>
      <c r="G302" s="220"/>
      <c r="H302" s="220"/>
      <c r="I302" s="220"/>
      <c r="J302" s="250" t="str" cm="1">
        <f t="array" aca="1" ref="J302" ca="1">IFERROR(INDEX(_xlfn.ANCHORARRAY($S$12),ROW()-12+1),"")</f>
        <v>ETR</v>
      </c>
      <c r="K302" s="70">
        <f ca="1">IF(Tabla16[[#This Row],[Ticker]]="",0,SUMIF(Tablaholdings[Ticker],Tabla16[[#This Row],[Ticker]],Tablaholdings[Peso Real en Portafolio])/100)</f>
        <v>3.192641378148717E-4</v>
      </c>
      <c r="L302" s="220"/>
      <c r="M302" s="220"/>
      <c r="N302" s="220"/>
      <c r="O302" s="220"/>
      <c r="P302" s="220"/>
      <c r="Q302" s="220"/>
      <c r="S302" s="227" t="str">
        <f ca="1"/>
        <v>ETR</v>
      </c>
      <c r="AB302" s="14" t="s">
        <v>986</v>
      </c>
    </row>
    <row r="303" spans="1:28" ht="30" customHeight="1" x14ac:dyDescent="0.55000000000000004">
      <c r="A303" s="245" t="s">
        <v>987</v>
      </c>
      <c r="B303" s="246" t="s">
        <v>988</v>
      </c>
      <c r="C303" s="247">
        <v>3.5943000000000003E-2</v>
      </c>
      <c r="D303" s="248">
        <f t="shared" si="8"/>
        <v>3.5943000000000005E-4</v>
      </c>
      <c r="E303" s="69">
        <f t="shared" ca="1" si="9"/>
        <v>1.4433082502773259E-2</v>
      </c>
      <c r="F303" s="249" t="s">
        <v>37</v>
      </c>
      <c r="G303" s="220"/>
      <c r="H303" s="220"/>
      <c r="I303" s="220"/>
      <c r="J303" s="250" t="str" cm="1">
        <f t="array" aca="1" ref="J303" ca="1">IFERROR(INDEX(_xlfn.ANCHORARRAY($S$12),ROW()-12+1),"")</f>
        <v>FHI</v>
      </c>
      <c r="K303" s="70">
        <f ca="1">IF(Tabla16[[#This Row],[Ticker]]="",0,SUMIF(Tablaholdings[Ticker],Tabla16[[#This Row],[Ticker]],Tablaholdings[Peso Real en Portafolio])/100)</f>
        <v>3.1815704369071653E-4</v>
      </c>
      <c r="L303" s="220"/>
      <c r="M303" s="220"/>
      <c r="N303" s="220"/>
      <c r="O303" s="220"/>
      <c r="P303" s="220"/>
      <c r="Q303" s="220"/>
      <c r="S303" s="227" t="str">
        <f ca="1"/>
        <v>FHI</v>
      </c>
      <c r="AB303" s="14" t="s">
        <v>989</v>
      </c>
    </row>
    <row r="304" spans="1:28" ht="30" customHeight="1" x14ac:dyDescent="0.55000000000000004">
      <c r="A304" s="245" t="s">
        <v>990</v>
      </c>
      <c r="B304" s="246" t="s">
        <v>991</v>
      </c>
      <c r="C304" s="247">
        <v>3.1704999999999997E-2</v>
      </c>
      <c r="D304" s="248">
        <f t="shared" si="8"/>
        <v>3.1704999999999998E-4</v>
      </c>
      <c r="E304" s="69">
        <f t="shared" ca="1" si="9"/>
        <v>1.2731293457708763E-2</v>
      </c>
      <c r="F304" s="249" t="s">
        <v>37</v>
      </c>
      <c r="G304" s="220"/>
      <c r="H304" s="220"/>
      <c r="I304" s="220"/>
      <c r="J304" s="253" t="str" cm="1">
        <f t="array" aca="1" ref="J304" ca="1">IFERROR(INDEX(_xlfn.ANCHORARRAY($S$12),ROW()-12+1),"")</f>
        <v>NKE</v>
      </c>
      <c r="K304" s="70">
        <f ca="1">IF(Tabla16[[#This Row],[Ticker]]="",0,SUMIF(Tablaholdings[Ticker],Tabla16[[#This Row],[Ticker]],Tablaholdings[Peso Real en Portafolio])/100)</f>
        <v>3.171800686445355E-4</v>
      </c>
      <c r="L304" s="220"/>
      <c r="M304" s="220"/>
      <c r="N304" s="220"/>
      <c r="O304" s="220"/>
      <c r="P304" s="220"/>
      <c r="Q304" s="220"/>
      <c r="S304" s="227" t="str">
        <f ca="1"/>
        <v>NKE</v>
      </c>
      <c r="AB304" s="14" t="s">
        <v>992</v>
      </c>
    </row>
    <row r="305" spans="1:28" ht="30" customHeight="1" x14ac:dyDescent="0.55000000000000004">
      <c r="A305" s="251" t="s">
        <v>993</v>
      </c>
      <c r="B305" s="252" t="s">
        <v>994</v>
      </c>
      <c r="C305" s="140">
        <v>0.1060041327</v>
      </c>
      <c r="D305" s="248">
        <f t="shared" si="8"/>
        <v>1.0600413270000001E-3</v>
      </c>
      <c r="E305" s="69">
        <f t="shared" ca="1" si="9"/>
        <v>3.1815704369071655E-2</v>
      </c>
      <c r="F305" s="249" t="s">
        <v>38</v>
      </c>
      <c r="G305" s="220"/>
      <c r="H305" s="220"/>
      <c r="I305" s="220"/>
      <c r="J305" s="253" t="str" cm="1">
        <f t="array" aca="1" ref="J305" ca="1">IFERROR(INDEX(_xlfn.ANCHORARRAY($S$12),ROW()-12+1),"")</f>
        <v>HEI</v>
      </c>
      <c r="K305" s="70">
        <f ca="1">IF(Tabla16[[#This Row],[Ticker]]="",0,SUMIF(Tablaholdings[Ticker],Tabla16[[#This Row],[Ticker]],Tablaholdings[Peso Real en Portafolio])/100)</f>
        <v>3.1399646872368945E-4</v>
      </c>
      <c r="L305" s="220"/>
      <c r="M305" s="220"/>
      <c r="N305" s="220"/>
      <c r="O305" s="220"/>
      <c r="P305" s="220"/>
      <c r="Q305" s="220"/>
      <c r="S305" s="227" t="str">
        <f ca="1"/>
        <v>HEI</v>
      </c>
      <c r="AB305" s="14" t="s">
        <v>995</v>
      </c>
    </row>
    <row r="306" spans="1:28" ht="30" customHeight="1" x14ac:dyDescent="0.55000000000000004">
      <c r="A306" s="251" t="s">
        <v>996</v>
      </c>
      <c r="B306" s="252" t="s">
        <v>997</v>
      </c>
      <c r="C306" s="140">
        <v>9.0490520399999996E-2</v>
      </c>
      <c r="D306" s="248">
        <f t="shared" si="8"/>
        <v>9.0490520399999995E-4</v>
      </c>
      <c r="E306" s="69">
        <f t="shared" ca="1" si="9"/>
        <v>2.6994117988948275E-2</v>
      </c>
      <c r="F306" s="249" t="s">
        <v>39</v>
      </c>
      <c r="G306" s="220"/>
      <c r="H306" s="220"/>
      <c r="I306" s="220"/>
      <c r="J306" s="250" t="str" cm="1">
        <f t="array" aca="1" ref="J306" ca="1">IFERROR(INDEX(_xlfn.ANCHORARRAY($S$12),ROW()-12+1),"")</f>
        <v>COR</v>
      </c>
      <c r="K306" s="70">
        <f ca="1">IF(Tabla16[[#This Row],[Ticker]]="",0,SUMIF(Tablaholdings[Ticker],Tabla16[[#This Row],[Ticker]],Tablaholdings[Peso Real en Portafolio])/100)</f>
        <v>3.1234534941315835E-4</v>
      </c>
      <c r="L306" s="220"/>
      <c r="M306" s="220"/>
      <c r="N306" s="220"/>
      <c r="O306" s="220"/>
      <c r="P306" s="220"/>
      <c r="Q306" s="220"/>
      <c r="S306" s="227" t="str">
        <f ca="1"/>
        <v>COR</v>
      </c>
      <c r="AB306" s="14" t="s">
        <v>998</v>
      </c>
    </row>
    <row r="307" spans="1:28" ht="30" customHeight="1" x14ac:dyDescent="0.55000000000000004">
      <c r="A307" s="245" t="s">
        <v>996</v>
      </c>
      <c r="B307" s="246" t="s">
        <v>997</v>
      </c>
      <c r="C307" s="247">
        <v>4.0418000000000003E-2</v>
      </c>
      <c r="D307" s="248">
        <f t="shared" si="8"/>
        <v>4.0418000000000002E-4</v>
      </c>
      <c r="E307" s="69">
        <f t="shared" ca="1" si="9"/>
        <v>1.6230040024402235E-2</v>
      </c>
      <c r="F307" s="249" t="s">
        <v>37</v>
      </c>
      <c r="G307" s="220"/>
      <c r="H307" s="220"/>
      <c r="I307" s="220"/>
      <c r="J307" s="253" t="str" cm="1">
        <f t="array" aca="1" ref="J307" ca="1">IFERROR(INDEX(_xlfn.ANCHORARRAY($S$12),ROW()-12+1),"")</f>
        <v>AJG</v>
      </c>
      <c r="K307" s="70">
        <f ca="1">IF(Tabla16[[#This Row],[Ticker]]="",0,SUMIF(Tablaholdings[Ticker],Tabla16[[#This Row],[Ticker]],Tablaholdings[Peso Real en Portafolio])/100)</f>
        <v>3.1064275725858697E-4</v>
      </c>
      <c r="L307" s="220"/>
      <c r="M307" s="220"/>
      <c r="N307" s="220"/>
      <c r="O307" s="220"/>
      <c r="P307" s="220"/>
      <c r="Q307" s="220"/>
      <c r="S307" s="227" t="str">
        <f ca="1"/>
        <v>AJG</v>
      </c>
      <c r="AB307" s="14" t="s">
        <v>999</v>
      </c>
    </row>
    <row r="308" spans="1:28" ht="30" customHeight="1" x14ac:dyDescent="0.55000000000000004">
      <c r="A308" s="245" t="s">
        <v>1000</v>
      </c>
      <c r="B308" s="246" t="s">
        <v>1001</v>
      </c>
      <c r="C308" s="247">
        <v>3.4502999999999999E-2</v>
      </c>
      <c r="D308" s="248">
        <f t="shared" si="8"/>
        <v>3.4502999999999997E-4</v>
      </c>
      <c r="E308" s="69">
        <f t="shared" ca="1" si="9"/>
        <v>1.3854843657824491E-2</v>
      </c>
      <c r="F308" s="249" t="s">
        <v>37</v>
      </c>
      <c r="G308" s="220"/>
      <c r="H308" s="220"/>
      <c r="I308" s="220"/>
      <c r="J308" s="250" t="str" cm="1">
        <f t="array" aca="1" ref="J308" ca="1">IFERROR(INDEX(_xlfn.ANCHORARRAY($S$12),ROW()-12+1),"")</f>
        <v>CRDO</v>
      </c>
      <c r="K308" s="70">
        <f ca="1">IF(Tabla16[[#This Row],[Ticker]]="",0,SUMIF(Tablaholdings[Ticker],Tabla16[[#This Row],[Ticker]],Tablaholdings[Peso Real en Portafolio])/100)</f>
        <v>3.0933918144764884E-4</v>
      </c>
      <c r="L308" s="220"/>
      <c r="M308" s="220"/>
      <c r="N308" s="220"/>
      <c r="O308" s="220"/>
      <c r="P308" s="220"/>
      <c r="Q308" s="220"/>
      <c r="S308" s="227" t="str">
        <f ca="1"/>
        <v>CRDO</v>
      </c>
      <c r="AB308" s="14" t="s">
        <v>1002</v>
      </c>
    </row>
    <row r="309" spans="1:28" ht="30" customHeight="1" x14ac:dyDescent="0.55000000000000004">
      <c r="A309" s="245" t="s">
        <v>1003</v>
      </c>
      <c r="B309" s="246" t="s">
        <v>1004</v>
      </c>
      <c r="C309" s="247">
        <v>4.4165999999999997E-2</v>
      </c>
      <c r="D309" s="248">
        <f t="shared" si="8"/>
        <v>4.4165999999999997E-4</v>
      </c>
      <c r="E309" s="69">
        <f t="shared" ca="1" si="9"/>
        <v>1.773506724028277E-2</v>
      </c>
      <c r="F309" s="249" t="s">
        <v>37</v>
      </c>
      <c r="G309" s="220"/>
      <c r="H309" s="220"/>
      <c r="I309" s="220"/>
      <c r="J309" s="250" t="str" cm="1">
        <f t="array" aca="1" ref="J309" ca="1">IFERROR(INDEX(_xlfn.ANCHORARRAY($S$12),ROW()-12+1),"")</f>
        <v>PSA</v>
      </c>
      <c r="K309" s="70">
        <f ca="1">IF(Tabla16[[#This Row],[Ticker]]="",0,SUMIF(Tablaholdings[Ticker],Tabla16[[#This Row],[Ticker]],Tablaholdings[Peso Real en Portafolio])/100)</f>
        <v>3.0185272370585888E-4</v>
      </c>
      <c r="L309" s="220"/>
      <c r="M309" s="220"/>
      <c r="N309" s="220"/>
      <c r="O309" s="220"/>
      <c r="P309" s="220"/>
      <c r="Q309" s="220"/>
      <c r="S309" s="227" t="str">
        <f ca="1"/>
        <v>PSA</v>
      </c>
      <c r="AB309" s="14" t="s">
        <v>1005</v>
      </c>
    </row>
    <row r="310" spans="1:28" ht="30" customHeight="1" x14ac:dyDescent="0.55000000000000004">
      <c r="A310" s="251" t="s">
        <v>1006</v>
      </c>
      <c r="B310" s="252" t="s">
        <v>1007</v>
      </c>
      <c r="C310" s="140">
        <v>1.1039442805999999</v>
      </c>
      <c r="D310" s="248">
        <f t="shared" si="8"/>
        <v>1.1039442805999999E-2</v>
      </c>
      <c r="E310" s="69">
        <f t="shared" ca="1" si="9"/>
        <v>0.33133392045098142</v>
      </c>
      <c r="F310" s="249" t="s">
        <v>38</v>
      </c>
      <c r="G310" s="220"/>
      <c r="H310" s="220"/>
      <c r="I310" s="220"/>
      <c r="J310" s="250" t="str" cm="1">
        <f t="array" aca="1" ref="J310" ca="1">IFERROR(INDEX(_xlfn.ANCHORARRAY($S$12),ROW()-12+1),"")</f>
        <v>EW</v>
      </c>
      <c r="K310" s="70">
        <f ca="1">IF(Tabla16[[#This Row],[Ticker]]="",0,SUMIF(Tablaholdings[Ticker],Tabla16[[#This Row],[Ticker]],Tablaholdings[Peso Real en Portafolio])/100)</f>
        <v>2.9731113944449038E-4</v>
      </c>
      <c r="L310" s="220"/>
      <c r="M310" s="220"/>
      <c r="N310" s="220"/>
      <c r="O310" s="220"/>
      <c r="P310" s="220"/>
      <c r="Q310" s="220"/>
      <c r="S310" s="227" t="str">
        <f ca="1"/>
        <v>EW</v>
      </c>
      <c r="AB310" s="14" t="s">
        <v>1008</v>
      </c>
    </row>
    <row r="311" spans="1:28" ht="30" customHeight="1" x14ac:dyDescent="0.55000000000000004">
      <c r="A311" s="245" t="s">
        <v>1006</v>
      </c>
      <c r="B311" s="246" t="s">
        <v>1007</v>
      </c>
      <c r="C311" s="247">
        <v>6.6516000000000006E-2</v>
      </c>
      <c r="D311" s="248">
        <f t="shared" si="8"/>
        <v>6.6516000000000004E-4</v>
      </c>
      <c r="E311" s="69">
        <f t="shared" ca="1" si="9"/>
        <v>2.6709815979591742E-2</v>
      </c>
      <c r="F311" s="249" t="s">
        <v>37</v>
      </c>
      <c r="G311" s="220"/>
      <c r="H311" s="220"/>
      <c r="I311" s="220"/>
      <c r="J311" s="250" t="str" cm="1">
        <f t="array" aca="1" ref="J311" ca="1">IFERROR(INDEX(_xlfn.ANCHORARRAY($S$12),ROW()-12+1),"")</f>
        <v>XEL</v>
      </c>
      <c r="K311" s="70">
        <f ca="1">IF(Tabla16[[#This Row],[Ticker]]="",0,SUMIF(Tablaholdings[Ticker],Tabla16[[#This Row],[Ticker]],Tablaholdings[Peso Real en Portafolio])/100)</f>
        <v>2.9694170907132873E-4</v>
      </c>
      <c r="L311" s="220"/>
      <c r="M311" s="220"/>
      <c r="N311" s="220"/>
      <c r="O311" s="220"/>
      <c r="P311" s="220"/>
      <c r="Q311" s="220"/>
      <c r="S311" s="227" t="str">
        <f ca="1"/>
        <v>XEL</v>
      </c>
      <c r="AB311" s="14" t="s">
        <v>1009</v>
      </c>
    </row>
    <row r="312" spans="1:28" ht="30" customHeight="1" x14ac:dyDescent="0.55000000000000004">
      <c r="A312" s="251" t="s">
        <v>1010</v>
      </c>
      <c r="B312" s="252" t="s">
        <v>1011</v>
      </c>
      <c r="C312" s="140">
        <v>0.25486548209999998</v>
      </c>
      <c r="D312" s="248">
        <f t="shared" si="8"/>
        <v>2.5486548209999998E-3</v>
      </c>
      <c r="E312" s="69">
        <f t="shared" ca="1" si="9"/>
        <v>7.6028614541126943E-2</v>
      </c>
      <c r="F312" s="249" t="s">
        <v>39</v>
      </c>
      <c r="G312" s="220"/>
      <c r="H312" s="220"/>
      <c r="I312" s="220"/>
      <c r="J312" s="250" t="str" cm="1">
        <f t="array" aca="1" ref="J312" ca="1">IFERROR(INDEX(_xlfn.ANCHORARRAY($S$12),ROW()-12+1),"")</f>
        <v>MRNA</v>
      </c>
      <c r="K312" s="70">
        <f ca="1">IF(Tabla16[[#This Row],[Ticker]]="",0,SUMIF(Tablaholdings[Ticker],Tabla16[[#This Row],[Ticker]],Tablaholdings[Peso Real en Portafolio])/100)</f>
        <v>2.944678329170078E-4</v>
      </c>
      <c r="L312" s="220"/>
      <c r="M312" s="220"/>
      <c r="N312" s="220"/>
      <c r="O312" s="220"/>
      <c r="P312" s="220"/>
      <c r="Q312" s="220"/>
      <c r="S312" s="227" t="str">
        <f ca="1"/>
        <v>MRNA</v>
      </c>
      <c r="AB312" s="14" t="s">
        <v>1012</v>
      </c>
    </row>
    <row r="313" spans="1:28" ht="30" customHeight="1" x14ac:dyDescent="0.55000000000000004">
      <c r="A313" s="245" t="s">
        <v>1010</v>
      </c>
      <c r="B313" s="246" t="s">
        <v>1011</v>
      </c>
      <c r="C313" s="247">
        <v>0.112139</v>
      </c>
      <c r="D313" s="248">
        <f t="shared" si="8"/>
        <v>1.1213900000000001E-3</v>
      </c>
      <c r="E313" s="69">
        <f t="shared" ca="1" si="9"/>
        <v>4.5029948495631703E-2</v>
      </c>
      <c r="F313" s="249" t="s">
        <v>37</v>
      </c>
      <c r="G313" s="220"/>
      <c r="H313" s="220"/>
      <c r="I313" s="220"/>
      <c r="J313" s="253" t="str" cm="1">
        <f t="array" aca="1" ref="J313" ca="1">IFERROR(INDEX(_xlfn.ANCHORARRAY($S$12),ROW()-12+1),"")</f>
        <v>CW</v>
      </c>
      <c r="K313" s="70">
        <f ca="1">IF(Tabla16[[#This Row],[Ticker]]="",0,SUMIF(Tablaholdings[Ticker],Tabla16[[#This Row],[Ticker]],Tablaholdings[Peso Real en Portafolio])/100)</f>
        <v>2.9062994389007671E-4</v>
      </c>
      <c r="L313" s="220"/>
      <c r="M313" s="220"/>
      <c r="N313" s="220"/>
      <c r="O313" s="220"/>
      <c r="P313" s="220"/>
      <c r="Q313" s="220"/>
      <c r="S313" s="227" t="str">
        <f ca="1"/>
        <v>CW</v>
      </c>
      <c r="AB313" s="14" t="s">
        <v>1013</v>
      </c>
    </row>
    <row r="314" spans="1:28" ht="30" customHeight="1" x14ac:dyDescent="0.55000000000000004">
      <c r="A314" s="251" t="s">
        <v>1014</v>
      </c>
      <c r="B314" s="252" t="s">
        <v>1015</v>
      </c>
      <c r="C314" s="140">
        <v>3.9587419300000003E-2</v>
      </c>
      <c r="D314" s="248">
        <f t="shared" si="8"/>
        <v>3.9587419300000004E-4</v>
      </c>
      <c r="E314" s="69">
        <f t="shared" ca="1" si="9"/>
        <v>1.1881627603593247E-2</v>
      </c>
      <c r="F314" s="249" t="s">
        <v>38</v>
      </c>
      <c r="G314" s="220"/>
      <c r="H314" s="220"/>
      <c r="I314" s="220"/>
      <c r="J314" s="250" t="str" cm="1">
        <f t="array" aca="1" ref="J314" ca="1">IFERROR(INDEX(_xlfn.ANCHORARRAY($S$12),ROW()-12+1),"")</f>
        <v>DAL</v>
      </c>
      <c r="K314" s="70">
        <f ca="1">IF(Tabla16[[#This Row],[Ticker]]="",0,SUMIF(Tablaholdings[Ticker],Tabla16[[#This Row],[Ticker]],Tablaholdings[Peso Real en Portafolio])/100)</f>
        <v>2.8963341255878181E-4</v>
      </c>
      <c r="L314" s="220"/>
      <c r="M314" s="220"/>
      <c r="N314" s="220"/>
      <c r="O314" s="220"/>
      <c r="P314" s="220"/>
      <c r="Q314" s="220"/>
      <c r="S314" s="227" t="str">
        <f ca="1"/>
        <v>DAL</v>
      </c>
      <c r="AB314" s="14" t="s">
        <v>1016</v>
      </c>
    </row>
    <row r="315" spans="1:28" ht="30" customHeight="1" x14ac:dyDescent="0.55000000000000004">
      <c r="A315" s="251" t="s">
        <v>1017</v>
      </c>
      <c r="B315" s="252" t="s">
        <v>1018</v>
      </c>
      <c r="C315" s="140">
        <v>5.8093367700000002E-2</v>
      </c>
      <c r="D315" s="248">
        <f t="shared" si="8"/>
        <v>5.8093367700000006E-4</v>
      </c>
      <c r="E315" s="69">
        <f t="shared" ca="1" si="9"/>
        <v>1.7329762445140683E-2</v>
      </c>
      <c r="F315" s="249" t="s">
        <v>39</v>
      </c>
      <c r="G315" s="220"/>
      <c r="H315" s="220"/>
      <c r="I315" s="220"/>
      <c r="J315" s="253" t="str" cm="1">
        <f t="array" aca="1" ref="J315" ca="1">IFERROR(INDEX(_xlfn.ANCHORARRAY($S$12),ROW()-12+1),"")</f>
        <v>NTRA</v>
      </c>
      <c r="K315" s="70">
        <f ca="1">IF(Tabla16[[#This Row],[Ticker]]="",0,SUMIF(Tablaholdings[Ticker],Tabla16[[#This Row],[Ticker]],Tablaholdings[Peso Real en Portafolio])/100)</f>
        <v>2.8779319162938478E-4</v>
      </c>
      <c r="L315" s="220"/>
      <c r="M315" s="220"/>
      <c r="N315" s="220"/>
      <c r="O315" s="220"/>
      <c r="P315" s="220"/>
      <c r="Q315" s="220"/>
      <c r="S315" s="227" t="str">
        <f ca="1"/>
        <v>NTRA</v>
      </c>
      <c r="AB315" s="14" t="s">
        <v>1019</v>
      </c>
    </row>
    <row r="316" spans="1:28" ht="30" customHeight="1" x14ac:dyDescent="0.55000000000000004">
      <c r="A316" s="251" t="s">
        <v>1020</v>
      </c>
      <c r="B316" s="252" t="s">
        <v>1021</v>
      </c>
      <c r="C316" s="140">
        <v>0.31332252220000001</v>
      </c>
      <c r="D316" s="248">
        <f t="shared" si="8"/>
        <v>3.1332252219999999E-3</v>
      </c>
      <c r="E316" s="69">
        <f t="shared" ca="1" si="9"/>
        <v>9.4039510390589609E-2</v>
      </c>
      <c r="F316" s="249" t="s">
        <v>38</v>
      </c>
      <c r="G316" s="220"/>
      <c r="H316" s="220"/>
      <c r="I316" s="220"/>
      <c r="J316" s="250" t="str" cm="1">
        <f t="array" aca="1" ref="J316" ca="1">IFERROR(INDEX(_xlfn.ANCHORARRAY($S$12),ROW()-12+1),"")</f>
        <v>ON</v>
      </c>
      <c r="K316" s="70">
        <f ca="1">IF(Tabla16[[#This Row],[Ticker]]="",0,SUMIF(Tablaholdings[Ticker],Tabla16[[#This Row],[Ticker]],Tablaholdings[Peso Real en Portafolio])/100)</f>
        <v>2.8641695898375434E-4</v>
      </c>
      <c r="L316" s="220"/>
      <c r="M316" s="220"/>
      <c r="N316" s="220"/>
      <c r="O316" s="220"/>
      <c r="P316" s="220"/>
      <c r="Q316" s="220"/>
      <c r="S316" s="227" t="str">
        <f ca="1"/>
        <v>ON</v>
      </c>
      <c r="AB316" s="14" t="s">
        <v>1022</v>
      </c>
    </row>
    <row r="317" spans="1:28" ht="30" customHeight="1" x14ac:dyDescent="0.55000000000000004">
      <c r="A317" s="245" t="s">
        <v>1023</v>
      </c>
      <c r="B317" s="246" t="s">
        <v>1024</v>
      </c>
      <c r="C317" s="247">
        <v>1.3211000000000001E-2</v>
      </c>
      <c r="D317" s="248">
        <f t="shared" si="8"/>
        <v>1.3211000000000001E-4</v>
      </c>
      <c r="E317" s="69">
        <f t="shared" ca="1" si="9"/>
        <v>5.3049398476514896E-3</v>
      </c>
      <c r="F317" s="249" t="s">
        <v>37</v>
      </c>
      <c r="G317" s="220"/>
      <c r="H317" s="220"/>
      <c r="I317" s="220"/>
      <c r="J317" s="250" t="str" cm="1">
        <f t="array" aca="1" ref="J317" ca="1">IFERROR(INDEX(_xlfn.ANCHORARRAY($S$12),ROW()-12+1),"")</f>
        <v>VST</v>
      </c>
      <c r="K317" s="70">
        <f ca="1">IF(Tabla16[[#This Row],[Ticker]]="",0,SUMIF(Tablaholdings[Ticker],Tabla16[[#This Row],[Ticker]],Tablaholdings[Peso Real en Portafolio])/100)</f>
        <v>2.85569678454003E-4</v>
      </c>
      <c r="L317" s="220"/>
      <c r="M317" s="220"/>
      <c r="N317" s="220"/>
      <c r="O317" s="220"/>
      <c r="P317" s="220"/>
      <c r="Q317" s="220"/>
      <c r="S317" s="227" t="str">
        <f ca="1"/>
        <v>VST</v>
      </c>
      <c r="AB317" s="14" t="s">
        <v>1025</v>
      </c>
    </row>
    <row r="318" spans="1:28" ht="30" customHeight="1" x14ac:dyDescent="0.55000000000000004">
      <c r="A318" s="245" t="s">
        <v>1026</v>
      </c>
      <c r="B318" s="246" t="s">
        <v>1027</v>
      </c>
      <c r="C318" s="247">
        <v>2.0908E-2</v>
      </c>
      <c r="D318" s="248">
        <f t="shared" si="8"/>
        <v>2.0908E-4</v>
      </c>
      <c r="E318" s="69">
        <f t="shared" ca="1" si="9"/>
        <v>8.3957067848533309E-3</v>
      </c>
      <c r="F318" s="249" t="s">
        <v>37</v>
      </c>
      <c r="G318" s="220"/>
      <c r="H318" s="220"/>
      <c r="I318" s="220"/>
      <c r="J318" s="250" t="str" cm="1">
        <f t="array" aca="1" ref="J318" ca="1">IFERROR(INDEX(_xlfn.ANCHORARRAY($S$12),ROW()-12+1),"")</f>
        <v>EXC</v>
      </c>
      <c r="K318" s="70">
        <f ca="1">IF(Tabla16[[#This Row],[Ticker]]="",0,SUMIF(Tablaholdings[Ticker],Tabla16[[#This Row],[Ticker]],Tablaholdings[Peso Real en Portafolio])/100)</f>
        <v>2.8444130959684601E-4</v>
      </c>
      <c r="L318" s="220"/>
      <c r="M318" s="220"/>
      <c r="N318" s="220"/>
      <c r="O318" s="220"/>
      <c r="P318" s="220"/>
      <c r="Q318" s="220"/>
      <c r="S318" s="227" t="str">
        <f ca="1"/>
        <v>EXC</v>
      </c>
      <c r="AB318" s="14" t="s">
        <v>1028</v>
      </c>
    </row>
    <row r="319" spans="1:28" ht="30" customHeight="1" x14ac:dyDescent="0.55000000000000004">
      <c r="A319" s="245" t="s">
        <v>1029</v>
      </c>
      <c r="B319" s="246" t="s">
        <v>1030</v>
      </c>
      <c r="C319" s="247">
        <v>1.3925999999999999E-2</v>
      </c>
      <c r="D319" s="248">
        <f t="shared" si="8"/>
        <v>1.3925999999999999E-4</v>
      </c>
      <c r="E319" s="69">
        <f t="shared" ca="1" si="9"/>
        <v>5.5920514963586892E-3</v>
      </c>
      <c r="F319" s="249" t="s">
        <v>37</v>
      </c>
      <c r="G319" s="220"/>
      <c r="H319" s="220"/>
      <c r="I319" s="220"/>
      <c r="J319" s="250" t="str" cm="1">
        <f t="array" aca="1" ref="J319" ca="1">IFERROR(INDEX(_xlfn.ANCHORARRAY($S$12),ROW()-12+1),"")</f>
        <v>WAB</v>
      </c>
      <c r="K319" s="70">
        <f ca="1">IF(Tabla16[[#This Row],[Ticker]]="",0,SUMIF(Tablaholdings[Ticker],Tabla16[[#This Row],[Ticker]],Tablaholdings[Peso Real en Portafolio])/100)</f>
        <v>2.8440115412150233E-4</v>
      </c>
      <c r="L319" s="220"/>
      <c r="M319" s="220"/>
      <c r="N319" s="220"/>
      <c r="O319" s="220"/>
      <c r="P319" s="220"/>
      <c r="Q319" s="220"/>
      <c r="S319" s="227" t="str">
        <f ca="1"/>
        <v>WAB</v>
      </c>
      <c r="AB319" s="14" t="s">
        <v>1031</v>
      </c>
    </row>
    <row r="320" spans="1:28" ht="30" customHeight="1" x14ac:dyDescent="0.55000000000000004">
      <c r="A320" s="245" t="s">
        <v>1032</v>
      </c>
      <c r="B320" s="246" t="s">
        <v>1033</v>
      </c>
      <c r="C320" s="247">
        <v>3.9387999999999999E-2</v>
      </c>
      <c r="D320" s="248">
        <f t="shared" si="8"/>
        <v>3.9387999999999999E-4</v>
      </c>
      <c r="E320" s="69">
        <f t="shared" ca="1" si="9"/>
        <v>1.5816438628362493E-2</v>
      </c>
      <c r="F320" s="249" t="s">
        <v>37</v>
      </c>
      <c r="G320" s="220"/>
      <c r="H320" s="220"/>
      <c r="I320" s="220"/>
      <c r="J320" s="250" t="str" cm="1">
        <f t="array" aca="1" ref="J320" ca="1">IFERROR(INDEX(_xlfn.ANCHORARRAY($S$12),ROW()-12+1),"")</f>
        <v>EA</v>
      </c>
      <c r="K320" s="70">
        <f ca="1">IF(Tabla16[[#This Row],[Ticker]]="",0,SUMIF(Tablaholdings[Ticker],Tabla16[[#This Row],[Ticker]],Tablaholdings[Peso Real en Portafolio])/100)</f>
        <v>2.8329286300201722E-4</v>
      </c>
      <c r="L320" s="220"/>
      <c r="M320" s="220"/>
      <c r="N320" s="220"/>
      <c r="O320" s="220"/>
      <c r="P320" s="220"/>
      <c r="Q320" s="220"/>
      <c r="S320" s="227" t="str">
        <f ca="1"/>
        <v>EA</v>
      </c>
      <c r="AB320" s="14" t="s">
        <v>1034</v>
      </c>
    </row>
    <row r="321" spans="1:28" ht="30" customHeight="1" x14ac:dyDescent="0.55000000000000004">
      <c r="A321" s="251" t="s">
        <v>1035</v>
      </c>
      <c r="B321" s="252" t="s">
        <v>1036</v>
      </c>
      <c r="C321" s="140">
        <v>9.4023755599999995E-2</v>
      </c>
      <c r="D321" s="248">
        <f t="shared" si="8"/>
        <v>9.4023755599999996E-4</v>
      </c>
      <c r="E321" s="69">
        <f t="shared" ca="1" si="9"/>
        <v>2.8048113119597401E-2</v>
      </c>
      <c r="F321" s="249" t="s">
        <v>39</v>
      </c>
      <c r="G321" s="220"/>
      <c r="H321" s="220"/>
      <c r="I321" s="220"/>
      <c r="J321" s="253" t="str" cm="1">
        <f t="array" aca="1" ref="J321" ca="1">IFERROR(INDEX(_xlfn.ANCHORARRAY($S$12),ROW()-12+1),"")</f>
        <v>FTAI</v>
      </c>
      <c r="K321" s="70">
        <f ca="1">IF(Tabla16[[#This Row],[Ticker]]="",0,SUMIF(Tablaholdings[Ticker],Tabla16[[#This Row],[Ticker]],Tablaholdings[Peso Real en Portafolio])/100)</f>
        <v>2.8048113119597402E-4</v>
      </c>
      <c r="L321" s="220"/>
      <c r="M321" s="220"/>
      <c r="N321" s="220"/>
      <c r="O321" s="220"/>
      <c r="P321" s="220"/>
      <c r="Q321" s="220"/>
      <c r="S321" s="227" t="str">
        <f ca="1"/>
        <v>FTAI</v>
      </c>
      <c r="AB321" s="14" t="s">
        <v>1037</v>
      </c>
    </row>
    <row r="322" spans="1:28" ht="30" customHeight="1" x14ac:dyDescent="0.55000000000000004">
      <c r="A322" s="251" t="s">
        <v>1038</v>
      </c>
      <c r="B322" s="252" t="s">
        <v>1039</v>
      </c>
      <c r="C322" s="140">
        <v>0.27183674340000002</v>
      </c>
      <c r="D322" s="248">
        <f t="shared" si="8"/>
        <v>2.7183674340000002E-3</v>
      </c>
      <c r="E322" s="69">
        <f t="shared" ca="1" si="9"/>
        <v>8.109129102843636E-2</v>
      </c>
      <c r="F322" s="249" t="s">
        <v>39</v>
      </c>
      <c r="G322" s="220"/>
      <c r="H322" s="220"/>
      <c r="I322" s="220"/>
      <c r="J322" s="250" t="str" cm="1">
        <f t="array" aca="1" ref="J322" ca="1">IFERROR(INDEX(_xlfn.ANCHORARRAY($S$12),ROW()-12+1),"")</f>
        <v>PTC</v>
      </c>
      <c r="K322" s="70">
        <f ca="1">IF(Tabla16[[#This Row],[Ticker]]="",0,SUMIF(Tablaholdings[Ticker],Tabla16[[#This Row],[Ticker]],Tablaholdings[Peso Real en Portafolio])/100)</f>
        <v>2.8040085895959278E-4</v>
      </c>
      <c r="L322" s="220"/>
      <c r="M322" s="220"/>
      <c r="N322" s="220"/>
      <c r="O322" s="220"/>
      <c r="P322" s="220"/>
      <c r="Q322" s="220"/>
      <c r="S322" s="227" t="str">
        <f ca="1"/>
        <v>PTC</v>
      </c>
      <c r="AB322" s="14" t="s">
        <v>1040</v>
      </c>
    </row>
    <row r="323" spans="1:28" ht="30" customHeight="1" x14ac:dyDescent="0.55000000000000004">
      <c r="A323" s="245" t="s">
        <v>1038</v>
      </c>
      <c r="B323" s="246" t="s">
        <v>1039</v>
      </c>
      <c r="C323" s="247">
        <v>0.116398</v>
      </c>
      <c r="D323" s="248">
        <f t="shared" si="8"/>
        <v>1.16398E-3</v>
      </c>
      <c r="E323" s="69">
        <f t="shared" ca="1" si="9"/>
        <v>4.6740170190518363E-2</v>
      </c>
      <c r="F323" s="249" t="s">
        <v>37</v>
      </c>
      <c r="G323" s="220"/>
      <c r="H323" s="220"/>
      <c r="I323" s="220"/>
      <c r="J323" s="253" t="str" cm="1">
        <f t="array" aca="1" ref="J323" ca="1">IFERROR(INDEX(_xlfn.ANCHORARRAY($S$12),ROW()-12+1),"")</f>
        <v>MTZ</v>
      </c>
      <c r="K323" s="70">
        <f ca="1">IF(Tabla16[[#This Row],[Ticker]]="",0,SUMIF(Tablaholdings[Ticker],Tabla16[[#This Row],[Ticker]],Tablaholdings[Peso Real en Portafolio])/100)</f>
        <v>2.78201605443239E-4</v>
      </c>
      <c r="L323" s="220"/>
      <c r="M323" s="220"/>
      <c r="N323" s="220"/>
      <c r="O323" s="220"/>
      <c r="P323" s="220"/>
      <c r="Q323" s="220"/>
      <c r="S323" s="227" t="str">
        <f ca="1"/>
        <v>MTZ</v>
      </c>
      <c r="AB323" s="14" t="s">
        <v>1041</v>
      </c>
    </row>
    <row r="324" spans="1:28" ht="30" customHeight="1" x14ac:dyDescent="0.55000000000000004">
      <c r="A324" s="245" t="s">
        <v>1042</v>
      </c>
      <c r="B324" s="246" t="s">
        <v>1043</v>
      </c>
      <c r="C324" s="247">
        <v>2.9069000000000001E-2</v>
      </c>
      <c r="D324" s="248">
        <f t="shared" si="8"/>
        <v>2.9069000000000002E-4</v>
      </c>
      <c r="E324" s="69">
        <f t="shared" ca="1" si="9"/>
        <v>1.1672795127649774E-2</v>
      </c>
      <c r="F324" s="249" t="s">
        <v>37</v>
      </c>
      <c r="G324" s="220"/>
      <c r="H324" s="220"/>
      <c r="I324" s="220"/>
      <c r="J324" s="250" t="str" cm="1">
        <f t="array" aca="1" ref="J324" ca="1">IFERROR(INDEX(_xlfn.ANCHORARRAY($S$12),ROW()-12+1),"")</f>
        <v>SMCI</v>
      </c>
      <c r="K324" s="70">
        <f ca="1">IF(Tabla16[[#This Row],[Ticker]]="",0,SUMIF(Tablaholdings[Ticker],Tabla16[[#This Row],[Ticker]],Tablaholdings[Peso Real en Portafolio])/100)</f>
        <v>2.7804598875988217E-4</v>
      </c>
      <c r="L324" s="220"/>
      <c r="M324" s="220"/>
      <c r="N324" s="220"/>
      <c r="O324" s="220"/>
      <c r="P324" s="220"/>
      <c r="Q324" s="220"/>
      <c r="S324" s="227" t="str">
        <f ca="1"/>
        <v>SMCI</v>
      </c>
      <c r="AB324" s="14" t="s">
        <v>1044</v>
      </c>
    </row>
    <row r="325" spans="1:28" ht="30" customHeight="1" x14ac:dyDescent="0.55000000000000004">
      <c r="A325" s="251" t="s">
        <v>1045</v>
      </c>
      <c r="B325" s="252" t="s">
        <v>1046</v>
      </c>
      <c r="C325" s="140">
        <v>7.9115107899999995E-2</v>
      </c>
      <c r="D325" s="248">
        <f t="shared" si="8"/>
        <v>7.9115107899999993E-4</v>
      </c>
      <c r="E325" s="69">
        <f t="shared" ca="1" si="9"/>
        <v>2.3600732407335939E-2</v>
      </c>
      <c r="F325" s="249" t="s">
        <v>39</v>
      </c>
      <c r="G325" s="220"/>
      <c r="H325" s="220"/>
      <c r="I325" s="220"/>
      <c r="J325" s="250" t="str" cm="1">
        <f t="array" aca="1" ref="J325" ca="1">IFERROR(INDEX(_xlfn.ANCHORARRAY($S$12),ROW()-12+1),"")</f>
        <v>LII</v>
      </c>
      <c r="K325" s="70">
        <f ca="1">IF(Tabla16[[#This Row],[Ticker]]="",0,SUMIF(Tablaholdings[Ticker],Tabla16[[#This Row],[Ticker]],Tablaholdings[Peso Real en Portafolio])/100)</f>
        <v>2.7761401547520741E-4</v>
      </c>
      <c r="L325" s="220"/>
      <c r="M325" s="220"/>
      <c r="N325" s="220"/>
      <c r="O325" s="220"/>
      <c r="P325" s="220"/>
      <c r="Q325" s="220"/>
      <c r="S325" s="227" t="str">
        <f ca="1"/>
        <v>LII</v>
      </c>
      <c r="AB325" s="14" t="s">
        <v>1047</v>
      </c>
    </row>
    <row r="326" spans="1:28" ht="30" customHeight="1" x14ac:dyDescent="0.55000000000000004">
      <c r="A326" s="251" t="s">
        <v>1048</v>
      </c>
      <c r="B326" s="252" t="s">
        <v>1049</v>
      </c>
      <c r="C326" s="140">
        <v>4.0570049699999999E-2</v>
      </c>
      <c r="D326" s="248">
        <f t="shared" si="8"/>
        <v>4.0570049700000001E-4</v>
      </c>
      <c r="E326" s="69">
        <f t="shared" ca="1" si="9"/>
        <v>1.2176550806247426E-2</v>
      </c>
      <c r="F326" s="249" t="s">
        <v>38</v>
      </c>
      <c r="G326" s="220"/>
      <c r="H326" s="220"/>
      <c r="I326" s="220"/>
      <c r="J326" s="253" t="str" cm="1">
        <f t="array" aca="1" ref="J326" ca="1">IFERROR(INDEX(_xlfn.ANCHORARRAY($S$12),ROW()-12+1),"")</f>
        <v>CAH</v>
      </c>
      <c r="K326" s="70">
        <f ca="1">IF(Tabla16[[#This Row],[Ticker]]="",0,SUMIF(Tablaholdings[Ticker],Tabla16[[#This Row],[Ticker]],Tablaholdings[Peso Real en Portafolio])/100)</f>
        <v>2.752657834808187E-4</v>
      </c>
      <c r="L326" s="220"/>
      <c r="M326" s="220"/>
      <c r="N326" s="220"/>
      <c r="O326" s="220"/>
      <c r="P326" s="220"/>
      <c r="Q326" s="220"/>
      <c r="S326" s="227" t="str">
        <f ca="1"/>
        <v>CAH</v>
      </c>
      <c r="AB326" s="14" t="s">
        <v>1050</v>
      </c>
    </row>
    <row r="327" spans="1:28" ht="30" customHeight="1" x14ac:dyDescent="0.55000000000000004">
      <c r="A327" s="245" t="s">
        <v>1051</v>
      </c>
      <c r="B327" s="246" t="s">
        <v>1052</v>
      </c>
      <c r="C327" s="247">
        <v>0.135545</v>
      </c>
      <c r="D327" s="248">
        <f t="shared" si="8"/>
        <v>1.35545E-3</v>
      </c>
      <c r="E327" s="69">
        <f t="shared" ca="1" si="9"/>
        <v>5.4428739054569762E-2</v>
      </c>
      <c r="F327" s="249" t="s">
        <v>37</v>
      </c>
      <c r="G327" s="220"/>
      <c r="H327" s="220"/>
      <c r="I327" s="220"/>
      <c r="J327" s="250" t="str" cm="1">
        <f t="array" aca="1" ref="J327" ca="1">IFERROR(INDEX(_xlfn.ANCHORARRAY($S$12),ROW()-12+1),"")</f>
        <v>ZM</v>
      </c>
      <c r="K327" s="70">
        <f ca="1">IF(Tabla16[[#This Row],[Ticker]]="",0,SUMIF(Tablaholdings[Ticker],Tabla16[[#This Row],[Ticker]],Tablaholdings[Peso Real en Portafolio])/100)</f>
        <v>2.7450063560336839E-4</v>
      </c>
      <c r="L327" s="220"/>
      <c r="M327" s="220"/>
      <c r="N327" s="220"/>
      <c r="O327" s="220"/>
      <c r="P327" s="220"/>
      <c r="Q327" s="220"/>
      <c r="S327" s="227" t="str">
        <f ca="1"/>
        <v>ZM</v>
      </c>
      <c r="AB327" s="14" t="s">
        <v>1053</v>
      </c>
    </row>
    <row r="328" spans="1:28" ht="30" customHeight="1" x14ac:dyDescent="0.55000000000000004">
      <c r="A328" s="251" t="s">
        <v>1054</v>
      </c>
      <c r="B328" s="252" t="s">
        <v>1055</v>
      </c>
      <c r="C328" s="140">
        <v>4.1070764500000002E-2</v>
      </c>
      <c r="D328" s="248">
        <f t="shared" si="8"/>
        <v>4.1070764500000003E-4</v>
      </c>
      <c r="E328" s="69">
        <f t="shared" ca="1" si="9"/>
        <v>1.2251770217571964E-2</v>
      </c>
      <c r="F328" s="249" t="s">
        <v>39</v>
      </c>
      <c r="G328" s="220"/>
      <c r="H328" s="220"/>
      <c r="I328" s="220"/>
      <c r="J328" s="250" t="str" cm="1">
        <f t="array" aca="1" ref="J328" ca="1">IFERROR(INDEX(_xlfn.ANCHORARRAY($S$12),ROW()-12+1),"")</f>
        <v>GVMXX</v>
      </c>
      <c r="K328" s="70">
        <f ca="1">IF(Tabla16[[#This Row],[Ticker]]="",0,SUMIF(Tablaholdings[Ticker],Tabla16[[#This Row],[Ticker]],Tablaholdings[Peso Real en Portafolio])/100)</f>
        <v>2.7044430991944222E-4</v>
      </c>
      <c r="L328" s="220"/>
      <c r="M328" s="220"/>
      <c r="N328" s="220"/>
      <c r="O328" s="220"/>
      <c r="P328" s="220"/>
      <c r="Q328" s="220"/>
      <c r="S328" s="227" t="str">
        <f ca="1"/>
        <v>GVMXX</v>
      </c>
      <c r="AB328" s="14" t="s">
        <v>1056</v>
      </c>
    </row>
    <row r="329" spans="1:28" ht="30" customHeight="1" x14ac:dyDescent="0.55000000000000004">
      <c r="A329" s="245" t="s">
        <v>1054</v>
      </c>
      <c r="B329" s="246" t="s">
        <v>1055</v>
      </c>
      <c r="C329" s="247">
        <v>1.7971000000000001E-2</v>
      </c>
      <c r="D329" s="248">
        <f t="shared" si="8"/>
        <v>1.7971E-4</v>
      </c>
      <c r="E329" s="69">
        <f t="shared" ca="1" si="9"/>
        <v>7.2163404740099102E-3</v>
      </c>
      <c r="F329" s="249" t="s">
        <v>37</v>
      </c>
      <c r="G329" s="220"/>
      <c r="H329" s="220"/>
      <c r="I329" s="220"/>
      <c r="J329" s="250" t="str" cm="1">
        <f t="array" aca="1" ref="J329" ca="1">IFERROR(INDEX(_xlfn.ANCHORARRAY($S$12),ROW()-12+1),"")</f>
        <v>MET</v>
      </c>
      <c r="K329" s="70">
        <f ca="1">IF(Tabla16[[#This Row],[Ticker]]="",0,SUMIF(Tablaholdings[Ticker],Tabla16[[#This Row],[Ticker]],Tablaholdings[Peso Real en Portafolio])/100)</f>
        <v>2.7020217803998264E-4</v>
      </c>
      <c r="L329" s="220"/>
      <c r="M329" s="220"/>
      <c r="N329" s="220"/>
      <c r="O329" s="220"/>
      <c r="P329" s="220"/>
      <c r="Q329" s="220"/>
      <c r="S329" s="227" t="str">
        <f ca="1"/>
        <v>MET</v>
      </c>
      <c r="AB329" s="14" t="s">
        <v>1057</v>
      </c>
    </row>
    <row r="330" spans="1:28" ht="30" customHeight="1" x14ac:dyDescent="0.55000000000000004">
      <c r="A330" s="251" t="s">
        <v>1058</v>
      </c>
      <c r="B330" s="252" t="s">
        <v>1059</v>
      </c>
      <c r="C330" s="140">
        <v>1.0800952791</v>
      </c>
      <c r="D330" s="248">
        <f t="shared" si="8"/>
        <v>1.0800952791000001E-2</v>
      </c>
      <c r="E330" s="69">
        <f t="shared" ca="1" si="9"/>
        <v>0.3222019198745974</v>
      </c>
      <c r="F330" s="249" t="s">
        <v>39</v>
      </c>
      <c r="G330" s="220"/>
      <c r="H330" s="220"/>
      <c r="I330" s="220"/>
      <c r="J330" s="253" t="str" cm="1">
        <f t="array" aca="1" ref="J330" ca="1">IFERROR(INDEX(_xlfn.ANCHORARRAY($S$12),ROW()-12+1),"")</f>
        <v>VTR</v>
      </c>
      <c r="K330" s="70">
        <f ca="1">IF(Tabla16[[#This Row],[Ticker]]="",0,SUMIF(Tablaholdings[Ticker],Tabla16[[#This Row],[Ticker]],Tablaholdings[Peso Real en Portafolio])/100)</f>
        <v>2.6996124518792063E-4</v>
      </c>
      <c r="L330" s="220"/>
      <c r="M330" s="220"/>
      <c r="N330" s="220"/>
      <c r="O330" s="220"/>
      <c r="P330" s="220"/>
      <c r="Q330" s="220"/>
      <c r="S330" s="227" t="str">
        <f ca="1"/>
        <v>VTR</v>
      </c>
      <c r="AB330" s="14" t="s">
        <v>1060</v>
      </c>
    </row>
    <row r="331" spans="1:28" ht="30" customHeight="1" x14ac:dyDescent="0.55000000000000004">
      <c r="A331" s="245" t="s">
        <v>1058</v>
      </c>
      <c r="B331" s="246" t="s">
        <v>1061</v>
      </c>
      <c r="C331" s="247">
        <v>0.48408499999999999</v>
      </c>
      <c r="D331" s="248">
        <f t="shared" si="8"/>
        <v>4.8408499999999998E-3</v>
      </c>
      <c r="E331" s="69">
        <f t="shared" ca="1" si="9"/>
        <v>0.19438663281737728</v>
      </c>
      <c r="F331" s="249" t="s">
        <v>37</v>
      </c>
      <c r="G331" s="220"/>
      <c r="H331" s="220"/>
      <c r="I331" s="220"/>
      <c r="J331" s="250" t="str" cm="1">
        <f t="array" aca="1" ref="J331" ca="1">IFERROR(INDEX(_xlfn.ANCHORARRAY($S$12),ROW()-12+1),"")</f>
        <v>AMP</v>
      </c>
      <c r="K331" s="70">
        <f ca="1">IF(Tabla16[[#This Row],[Ticker]]="",0,SUMIF(Tablaholdings[Ticker],Tabla16[[#This Row],[Ticker]],Tablaholdings[Peso Real en Portafolio])/100)</f>
        <v>2.688409074258324E-4</v>
      </c>
      <c r="L331" s="220"/>
      <c r="M331" s="220"/>
      <c r="N331" s="220"/>
      <c r="O331" s="220"/>
      <c r="P331" s="220"/>
      <c r="Q331" s="220"/>
      <c r="S331" s="227" t="str">
        <f ca="1"/>
        <v>AMP</v>
      </c>
      <c r="AB331" s="14" t="s">
        <v>1062</v>
      </c>
    </row>
    <row r="332" spans="1:28" ht="30" customHeight="1" x14ac:dyDescent="0.55000000000000004">
      <c r="A332" s="245" t="s">
        <v>1063</v>
      </c>
      <c r="B332" s="246" t="s">
        <v>1064</v>
      </c>
      <c r="C332" s="247">
        <v>4.4144000000000003E-2</v>
      </c>
      <c r="D332" s="248">
        <f t="shared" ref="D332:D395" si="10">C332/100</f>
        <v>4.4144000000000003E-4</v>
      </c>
      <c r="E332" s="69">
        <f t="shared" ref="E332:E395" ca="1" si="11">C332 * VLOOKUP(F332, $A$6:$B$8, 2, FALSE)</f>
        <v>1.7726233035707167E-2</v>
      </c>
      <c r="F332" s="249" t="s">
        <v>37</v>
      </c>
      <c r="G332" s="220"/>
      <c r="H332" s="220"/>
      <c r="I332" s="220"/>
      <c r="J332" s="250" t="str" cm="1">
        <f t="array" aca="1" ref="J332" ca="1">IFERROR(INDEX(_xlfn.ANCHORARRAY($S$12),ROW()-12+1),"")</f>
        <v>GNRC</v>
      </c>
      <c r="K332" s="70">
        <f ca="1">IF(Tabla16[[#This Row],[Ticker]]="",0,SUMIF(Tablaholdings[Ticker],Tabla16[[#This Row],[Ticker]],Tablaholdings[Peso Real en Portafolio])/100)</f>
        <v>2.6841002903056686E-4</v>
      </c>
      <c r="L332" s="220"/>
      <c r="M332" s="220"/>
      <c r="N332" s="220"/>
      <c r="O332" s="220"/>
      <c r="P332" s="220"/>
      <c r="Q332" s="220"/>
      <c r="S332" s="227" t="str">
        <f ca="1"/>
        <v>GNRC</v>
      </c>
      <c r="AB332" s="14" t="s">
        <v>1065</v>
      </c>
    </row>
    <row r="333" spans="1:28" ht="30" customHeight="1" x14ac:dyDescent="0.55000000000000004">
      <c r="A333" s="245" t="s">
        <v>1066</v>
      </c>
      <c r="B333" s="246" t="s">
        <v>1067</v>
      </c>
      <c r="C333" s="247">
        <v>2.0094000000000001E-2</v>
      </c>
      <c r="D333" s="248">
        <f t="shared" si="10"/>
        <v>2.0094000000000001E-4</v>
      </c>
      <c r="E333" s="69">
        <f t="shared" ca="1" si="11"/>
        <v>8.0688412155559032E-3</v>
      </c>
      <c r="F333" s="249" t="s">
        <v>37</v>
      </c>
      <c r="G333" s="220"/>
      <c r="H333" s="220"/>
      <c r="I333" s="220"/>
      <c r="J333" s="250" t="str" cm="1">
        <f t="array" aca="1" ref="J333" ca="1">IFERROR(INDEX(_xlfn.ANCHORARRAY($S$12),ROW()-12+1),"")</f>
        <v>HPE</v>
      </c>
      <c r="K333" s="70">
        <f ca="1">IF(Tabla16[[#This Row],[Ticker]]="",0,SUMIF(Tablaholdings[Ticker],Tabla16[[#This Row],[Ticker]],Tablaholdings[Peso Real en Portafolio])/100)</f>
        <v>2.6769647637853801E-4</v>
      </c>
      <c r="L333" s="220"/>
      <c r="M333" s="220"/>
      <c r="N333" s="220"/>
      <c r="O333" s="220"/>
      <c r="P333" s="220"/>
      <c r="Q333" s="220"/>
      <c r="S333" s="227" t="str">
        <f ca="1"/>
        <v>HPE</v>
      </c>
      <c r="AB333" s="14" t="s">
        <v>1068</v>
      </c>
    </row>
    <row r="334" spans="1:28" ht="30" customHeight="1" x14ac:dyDescent="0.55000000000000004">
      <c r="A334" s="251" t="s">
        <v>1069</v>
      </c>
      <c r="B334" s="252" t="s">
        <v>1070</v>
      </c>
      <c r="C334" s="140">
        <v>1.0391455386999999</v>
      </c>
      <c r="D334" s="248">
        <f t="shared" si="10"/>
        <v>1.0391455386999999E-2</v>
      </c>
      <c r="E334" s="69">
        <f t="shared" ca="1" si="11"/>
        <v>0.30998625221031456</v>
      </c>
      <c r="F334" s="249" t="s">
        <v>39</v>
      </c>
      <c r="G334" s="220"/>
      <c r="H334" s="220"/>
      <c r="I334" s="220"/>
      <c r="J334" s="250" t="str" cm="1">
        <f t="array" aca="1" ref="J334" ca="1">IFERROR(INDEX(_xlfn.ANCHORARRAY($S$12),ROW()-12+1),"")</f>
        <v>STT</v>
      </c>
      <c r="K334" s="70">
        <f ca="1">IF(Tabla16[[#This Row],[Ticker]]="",0,SUMIF(Tablaholdings[Ticker],Tabla16[[#This Row],[Ticker]],Tablaholdings[Peso Real en Portafolio])/100)</f>
        <v>2.6590554217821057E-4</v>
      </c>
      <c r="L334" s="220"/>
      <c r="M334" s="220"/>
      <c r="N334" s="220"/>
      <c r="O334" s="220"/>
      <c r="P334" s="220"/>
      <c r="Q334" s="220"/>
      <c r="S334" s="227" t="str">
        <f ca="1"/>
        <v>STT</v>
      </c>
      <c r="AB334" s="14" t="s">
        <v>1071</v>
      </c>
    </row>
    <row r="335" spans="1:28" ht="30" customHeight="1" x14ac:dyDescent="0.55000000000000004">
      <c r="A335" s="245" t="s">
        <v>1069</v>
      </c>
      <c r="B335" s="246" t="s">
        <v>1070</v>
      </c>
      <c r="C335" s="247">
        <v>0.44850800000000002</v>
      </c>
      <c r="D335" s="248">
        <f t="shared" si="10"/>
        <v>4.4850799999999998E-3</v>
      </c>
      <c r="E335" s="69">
        <f t="shared" ca="1" si="11"/>
        <v>0.18010051935436186</v>
      </c>
      <c r="F335" s="249" t="s">
        <v>37</v>
      </c>
      <c r="G335" s="220"/>
      <c r="H335" s="220"/>
      <c r="I335" s="220"/>
      <c r="J335" s="250" t="str" cm="1">
        <f t="array" aca="1" ref="J335" ca="1">IFERROR(INDEX(_xlfn.ANCHORARRAY($S$12),ROW()-12+1),"")</f>
        <v>CMG</v>
      </c>
      <c r="K335" s="70">
        <f ca="1">IF(Tabla16[[#This Row],[Ticker]]="",0,SUMIF(Tablaholdings[Ticker],Tabla16[[#This Row],[Ticker]],Tablaholdings[Peso Real en Portafolio])/100)</f>
        <v>2.6265294867537376E-4</v>
      </c>
      <c r="L335" s="220"/>
      <c r="M335" s="220"/>
      <c r="N335" s="220"/>
      <c r="O335" s="220"/>
      <c r="P335" s="220"/>
      <c r="Q335" s="220"/>
      <c r="S335" s="227" t="str">
        <f ca="1"/>
        <v>CMG</v>
      </c>
      <c r="AB335" s="14" t="s">
        <v>1072</v>
      </c>
    </row>
    <row r="336" spans="1:28" ht="30" customHeight="1" x14ac:dyDescent="0.55000000000000004">
      <c r="A336" s="245" t="s">
        <v>1073</v>
      </c>
      <c r="B336" s="246" t="s">
        <v>1074</v>
      </c>
      <c r="C336" s="247">
        <v>0.25854700000000003</v>
      </c>
      <c r="D336" s="248">
        <f t="shared" si="10"/>
        <v>2.5854700000000003E-3</v>
      </c>
      <c r="E336" s="69">
        <f t="shared" ca="1" si="11"/>
        <v>0.10382077683678373</v>
      </c>
      <c r="F336" s="249" t="s">
        <v>37</v>
      </c>
      <c r="G336" s="220"/>
      <c r="H336" s="220"/>
      <c r="I336" s="220"/>
      <c r="J336" s="253" t="str" cm="1">
        <f t="array" aca="1" ref="J336" ca="1">IFERROR(INDEX(_xlfn.ANCHORARRAY($S$12),ROW()-12+1),"")</f>
        <v>PYPL</v>
      </c>
      <c r="K336" s="70">
        <f ca="1">IF(Tabla16[[#This Row],[Ticker]]="",0,SUMIF(Tablaholdings[Ticker],Tabla16[[#This Row],[Ticker]],Tablaholdings[Peso Real en Portafolio])/100)</f>
        <v>2.6156473529356046E-4</v>
      </c>
      <c r="L336" s="220"/>
      <c r="M336" s="220"/>
      <c r="N336" s="220"/>
      <c r="O336" s="220"/>
      <c r="P336" s="220"/>
      <c r="Q336" s="220"/>
      <c r="S336" s="227" t="str">
        <f ca="1"/>
        <v>PYPL</v>
      </c>
      <c r="AB336" s="14" t="s">
        <v>1075</v>
      </c>
    </row>
    <row r="337" spans="1:28" ht="30" customHeight="1" x14ac:dyDescent="0.55000000000000004">
      <c r="A337" s="251" t="s">
        <v>1076</v>
      </c>
      <c r="B337" s="252" t="s">
        <v>1077</v>
      </c>
      <c r="C337" s="140">
        <v>0.45457139079999997</v>
      </c>
      <c r="D337" s="248">
        <f t="shared" si="10"/>
        <v>4.5457139079999997E-3</v>
      </c>
      <c r="E337" s="69">
        <f t="shared" ca="1" si="11"/>
        <v>0.13643344477201252</v>
      </c>
      <c r="F337" s="249" t="s">
        <v>38</v>
      </c>
      <c r="G337" s="220"/>
      <c r="H337" s="220"/>
      <c r="I337" s="220"/>
      <c r="J337" s="250" t="str" cm="1">
        <f t="array" aca="1" ref="J337" ca="1">IFERROR(INDEX(_xlfn.ANCHORARRAY($S$12),ROW()-12+1),"")</f>
        <v>YUM</v>
      </c>
      <c r="K337" s="70">
        <f ca="1">IF(Tabla16[[#This Row],[Ticker]]="",0,SUMIF(Tablaholdings[Ticker],Tabla16[[#This Row],[Ticker]],Tablaholdings[Peso Real en Portafolio])/100)</f>
        <v>2.6135191127423906E-4</v>
      </c>
      <c r="L337" s="220"/>
      <c r="M337" s="220"/>
      <c r="N337" s="220"/>
      <c r="O337" s="220"/>
      <c r="P337" s="220"/>
      <c r="Q337" s="220"/>
      <c r="S337" s="227" t="str">
        <f ca="1"/>
        <v>YUM</v>
      </c>
      <c r="AB337" s="14" t="s">
        <v>1078</v>
      </c>
    </row>
    <row r="338" spans="1:28" ht="30" customHeight="1" x14ac:dyDescent="0.55000000000000004">
      <c r="A338" s="245" t="s">
        <v>1076</v>
      </c>
      <c r="B338" s="246" t="s">
        <v>1077</v>
      </c>
      <c r="C338" s="247">
        <v>2.8139000000000001E-2</v>
      </c>
      <c r="D338" s="248">
        <f t="shared" si="10"/>
        <v>2.8139000000000001E-4</v>
      </c>
      <c r="E338" s="69">
        <f t="shared" ca="1" si="11"/>
        <v>1.1299349206953696E-2</v>
      </c>
      <c r="F338" s="249" t="s">
        <v>37</v>
      </c>
      <c r="G338" s="220"/>
      <c r="H338" s="220"/>
      <c r="I338" s="220"/>
      <c r="J338" s="250" t="str" cm="1">
        <f t="array" aca="1" ref="J338" ca="1">IFERROR(INDEX(_xlfn.ANCHORARRAY($S$12),ROW()-12+1),"")</f>
        <v>NVR</v>
      </c>
      <c r="K338" s="70">
        <f ca="1">IF(Tabla16[[#This Row],[Ticker]]="",0,SUMIF(Tablaholdings[Ticker],Tabla16[[#This Row],[Ticker]],Tablaholdings[Peso Real en Portafolio])/100)</f>
        <v>2.6111689633767269E-4</v>
      </c>
      <c r="L338" s="220"/>
      <c r="M338" s="220"/>
      <c r="N338" s="220"/>
      <c r="O338" s="220"/>
      <c r="P338" s="220"/>
      <c r="Q338" s="220"/>
      <c r="S338" s="227" t="str">
        <f ca="1"/>
        <v>NVR</v>
      </c>
      <c r="AB338" s="14" t="s">
        <v>1079</v>
      </c>
    </row>
    <row r="339" spans="1:28" ht="30" customHeight="1" x14ac:dyDescent="0.55000000000000004">
      <c r="A339" s="245" t="s">
        <v>1080</v>
      </c>
      <c r="B339" s="246" t="s">
        <v>1081</v>
      </c>
      <c r="C339" s="247">
        <v>1.9046E-2</v>
      </c>
      <c r="D339" s="248">
        <f t="shared" si="10"/>
        <v>1.9046000000000002E-4</v>
      </c>
      <c r="E339" s="69">
        <f t="shared" ca="1" si="11"/>
        <v>7.6480118339543011E-3</v>
      </c>
      <c r="F339" s="249" t="s">
        <v>37</v>
      </c>
      <c r="G339" s="220"/>
      <c r="H339" s="220"/>
      <c r="I339" s="220"/>
      <c r="J339" s="253" t="str" cm="1">
        <f t="array" aca="1" ref="J339" ca="1">IFERROR(INDEX(_xlfn.ANCHORARRAY($S$12),ROW()-12+1),"")</f>
        <v>MDB</v>
      </c>
      <c r="K339" s="70">
        <f ca="1">IF(Tabla16[[#This Row],[Ticker]]="",0,SUMIF(Tablaholdings[Ticker],Tabla16[[#This Row],[Ticker]],Tablaholdings[Peso Real en Portafolio])/100)</f>
        <v>2.6092009495261699E-4</v>
      </c>
      <c r="L339" s="220"/>
      <c r="M339" s="220"/>
      <c r="N339" s="220"/>
      <c r="O339" s="220"/>
      <c r="P339" s="220"/>
      <c r="Q339" s="220"/>
      <c r="S339" s="227" t="str">
        <f ca="1"/>
        <v>MDB</v>
      </c>
      <c r="AB339" s="14" t="s">
        <v>1082</v>
      </c>
    </row>
    <row r="340" spans="1:28" ht="30" customHeight="1" x14ac:dyDescent="0.55000000000000004">
      <c r="A340" s="245" t="s">
        <v>1083</v>
      </c>
      <c r="B340" s="246" t="s">
        <v>1084</v>
      </c>
      <c r="C340" s="247">
        <v>0.25239899999999998</v>
      </c>
      <c r="D340" s="248">
        <f t="shared" si="10"/>
        <v>2.5239899999999998E-3</v>
      </c>
      <c r="E340" s="69">
        <f t="shared" ca="1" si="11"/>
        <v>0.10135201821265523</v>
      </c>
      <c r="F340" s="249" t="s">
        <v>37</v>
      </c>
      <c r="G340" s="220"/>
      <c r="H340" s="220"/>
      <c r="I340" s="220"/>
      <c r="J340" s="250" t="str" cm="1">
        <f t="array" aca="1" ref="J340" ca="1">IFERROR(INDEX(_xlfn.ANCHORARRAY($S$12),ROW()-12+1),"")</f>
        <v>INSM</v>
      </c>
      <c r="K340" s="70">
        <f ca="1">IF(Tabla16[[#This Row],[Ticker]]="",0,SUMIF(Tablaholdings[Ticker],Tabla16[[#This Row],[Ticker]],Tablaholdings[Peso Real en Portafolio])/100)</f>
        <v>2.600864928049438E-4</v>
      </c>
      <c r="L340" s="220"/>
      <c r="M340" s="220"/>
      <c r="N340" s="220"/>
      <c r="O340" s="220"/>
      <c r="P340" s="220"/>
      <c r="Q340" s="220"/>
      <c r="S340" s="227" t="str">
        <f ca="1"/>
        <v>INSM</v>
      </c>
      <c r="AB340" s="14" t="s">
        <v>1085</v>
      </c>
    </row>
    <row r="341" spans="1:28" ht="30" customHeight="1" x14ac:dyDescent="0.55000000000000004">
      <c r="A341" s="245" t="s">
        <v>1086</v>
      </c>
      <c r="B341" s="246" t="s">
        <v>1087</v>
      </c>
      <c r="C341" s="247">
        <v>0.107222</v>
      </c>
      <c r="D341" s="248">
        <f t="shared" si="10"/>
        <v>1.07222E-3</v>
      </c>
      <c r="E341" s="69">
        <f t="shared" ca="1" si="11"/>
        <v>4.3055503772983728E-2</v>
      </c>
      <c r="F341" s="249" t="s">
        <v>37</v>
      </c>
      <c r="G341" s="220"/>
      <c r="H341" s="220"/>
      <c r="I341" s="220"/>
      <c r="J341" s="250" t="str" cm="1">
        <f t="array" aca="1" ref="J341" ca="1">IFERROR(INDEX(_xlfn.ANCHORARRAY($S$12),ROW()-12+1),"")</f>
        <v>BDX</v>
      </c>
      <c r="K341" s="70">
        <f ca="1">IF(Tabla16[[#This Row],[Ticker]]="",0,SUMIF(Tablaholdings[Ticker],Tabla16[[#This Row],[Ticker]],Tablaholdings[Peso Real en Portafolio])/100)</f>
        <v>2.5824387748263941E-4</v>
      </c>
      <c r="L341" s="220"/>
      <c r="M341" s="220"/>
      <c r="N341" s="220"/>
      <c r="O341" s="220"/>
      <c r="P341" s="220"/>
      <c r="Q341" s="220"/>
      <c r="S341" s="227" t="str">
        <f ca="1"/>
        <v>BDX</v>
      </c>
      <c r="AB341" s="14" t="s">
        <v>1088</v>
      </c>
    </row>
    <row r="342" spans="1:28" ht="30" customHeight="1" x14ac:dyDescent="0.55000000000000004">
      <c r="A342" s="251" t="s">
        <v>1089</v>
      </c>
      <c r="B342" s="252" t="s">
        <v>1090</v>
      </c>
      <c r="C342" s="140">
        <v>5.6989611000000003E-2</v>
      </c>
      <c r="D342" s="248">
        <f t="shared" si="10"/>
        <v>5.6989611000000007E-4</v>
      </c>
      <c r="E342" s="69">
        <f t="shared" ca="1" si="11"/>
        <v>1.7000502115338312E-2</v>
      </c>
      <c r="F342" s="249" t="s">
        <v>39</v>
      </c>
      <c r="G342" s="220"/>
      <c r="H342" s="220"/>
      <c r="I342" s="220"/>
      <c r="J342" s="250" t="str" cm="1">
        <f t="array" aca="1" ref="J342" ca="1">IFERROR(INDEX(_xlfn.ANCHORARRAY($S$12),ROW()-12+1),"")</f>
        <v>RSG</v>
      </c>
      <c r="K342" s="70">
        <f ca="1">IF(Tabla16[[#This Row],[Ticker]]="",0,SUMIF(Tablaholdings[Ticker],Tabla16[[#This Row],[Ticker]],Tablaholdings[Peso Real en Portafolio])/100)</f>
        <v>2.5784633827673719E-4</v>
      </c>
      <c r="L342" s="220"/>
      <c r="M342" s="220"/>
      <c r="N342" s="220"/>
      <c r="O342" s="220"/>
      <c r="P342" s="220"/>
      <c r="Q342" s="220"/>
      <c r="S342" s="227" t="str">
        <f ca="1"/>
        <v>RSG</v>
      </c>
      <c r="AB342" s="14" t="s">
        <v>1091</v>
      </c>
    </row>
    <row r="343" spans="1:28" ht="30" customHeight="1" x14ac:dyDescent="0.55000000000000004">
      <c r="A343" s="245" t="s">
        <v>1089</v>
      </c>
      <c r="B343" s="246" t="s">
        <v>1090</v>
      </c>
      <c r="C343" s="247">
        <v>2.4506E-2</v>
      </c>
      <c r="D343" s="248">
        <f t="shared" si="10"/>
        <v>2.4506000000000002E-4</v>
      </c>
      <c r="E343" s="69">
        <f t="shared" ca="1" si="11"/>
        <v>9.8405007877183717E-3</v>
      </c>
      <c r="F343" s="249" t="s">
        <v>37</v>
      </c>
      <c r="G343" s="220"/>
      <c r="H343" s="220"/>
      <c r="I343" s="220"/>
      <c r="J343" s="250" t="str" cm="1">
        <f t="array" aca="1" ref="J343" ca="1">IFERROR(INDEX(_xlfn.ANCHORARRAY($S$12),ROW()-12+1),"")</f>
        <v>KFY</v>
      </c>
      <c r="K343" s="70">
        <f ca="1">IF(Tabla16[[#This Row],[Ticker]]="",0,SUMIF(Tablaholdings[Ticker],Tabla16[[#This Row],[Ticker]],Tablaholdings[Peso Real en Portafolio])/100)</f>
        <v>2.5746226767101819E-4</v>
      </c>
      <c r="L343" s="220"/>
      <c r="M343" s="220"/>
      <c r="N343" s="220"/>
      <c r="O343" s="220"/>
      <c r="P343" s="220"/>
      <c r="Q343" s="220"/>
      <c r="S343" s="227" t="str">
        <f ca="1"/>
        <v>KFY</v>
      </c>
      <c r="AB343" s="14" t="s">
        <v>1092</v>
      </c>
    </row>
    <row r="344" spans="1:28" ht="30" customHeight="1" x14ac:dyDescent="0.55000000000000004">
      <c r="A344" s="251" t="s">
        <v>1093</v>
      </c>
      <c r="B344" s="252" t="s">
        <v>1094</v>
      </c>
      <c r="C344" s="140">
        <v>4.0365541516999999</v>
      </c>
      <c r="D344" s="248">
        <f t="shared" si="10"/>
        <v>4.0365541516999996E-2</v>
      </c>
      <c r="E344" s="69">
        <f t="shared" ca="1" si="11"/>
        <v>1.2041396000168081</v>
      </c>
      <c r="F344" s="249" t="s">
        <v>39</v>
      </c>
      <c r="G344" s="220"/>
      <c r="H344" s="220"/>
      <c r="I344" s="220"/>
      <c r="J344" s="250" t="str" cm="1">
        <f t="array" aca="1" ref="J344" ca="1">IFERROR(INDEX(_xlfn.ANCHORARRAY($S$12),ROW()-12+1),"")</f>
        <v>CBRE</v>
      </c>
      <c r="K344" s="70">
        <f ca="1">IF(Tabla16[[#This Row],[Ticker]]="",0,SUMIF(Tablaholdings[Ticker],Tabla16[[#This Row],[Ticker]],Tablaholdings[Peso Real en Portafolio])/100)</f>
        <v>2.5685048248821429E-4</v>
      </c>
      <c r="L344" s="220"/>
      <c r="M344" s="220"/>
      <c r="N344" s="220"/>
      <c r="O344" s="220"/>
      <c r="P344" s="220"/>
      <c r="Q344" s="220"/>
      <c r="S344" s="227" t="str">
        <f ca="1"/>
        <v>CBRE</v>
      </c>
      <c r="AB344" s="14" t="s">
        <v>1095</v>
      </c>
    </row>
    <row r="345" spans="1:28" ht="30" customHeight="1" x14ac:dyDescent="0.55000000000000004">
      <c r="A345" s="245" t="s">
        <v>1093</v>
      </c>
      <c r="B345" s="246" t="s">
        <v>1096</v>
      </c>
      <c r="C345" s="247">
        <v>2.9226709999999998</v>
      </c>
      <c r="D345" s="248">
        <f t="shared" si="10"/>
        <v>2.9226709999999999E-2</v>
      </c>
      <c r="E345" s="69">
        <f t="shared" ca="1" si="11"/>
        <v>1.1736124327814266</v>
      </c>
      <c r="F345" s="249" t="s">
        <v>37</v>
      </c>
      <c r="G345" s="220"/>
      <c r="H345" s="220"/>
      <c r="I345" s="220"/>
      <c r="J345" s="253" t="str" cm="1">
        <f t="array" aca="1" ref="J345" ca="1">IFERROR(INDEX(_xlfn.ANCHORARRAY($S$12),ROW()-12+1),"")</f>
        <v>AIG</v>
      </c>
      <c r="K345" s="70">
        <f ca="1">IF(Tabla16[[#This Row],[Ticker]]="",0,SUMIF(Tablaholdings[Ticker],Tabla16[[#This Row],[Ticker]],Tablaholdings[Peso Real en Portafolio])/100)</f>
        <v>2.5559763165749192E-4</v>
      </c>
      <c r="L345" s="220"/>
      <c r="M345" s="220"/>
      <c r="N345" s="220"/>
      <c r="O345" s="220"/>
      <c r="P345" s="220"/>
      <c r="Q345" s="220"/>
      <c r="S345" s="227" t="str">
        <f ca="1"/>
        <v>AIG</v>
      </c>
      <c r="AB345" s="14" t="s">
        <v>1097</v>
      </c>
    </row>
    <row r="346" spans="1:28" ht="30" customHeight="1" x14ac:dyDescent="0.55000000000000004">
      <c r="A346" s="251" t="s">
        <v>1098</v>
      </c>
      <c r="B346" s="252" t="s">
        <v>1099</v>
      </c>
      <c r="C346" s="140">
        <v>5.0752153300999998</v>
      </c>
      <c r="D346" s="248">
        <f t="shared" si="10"/>
        <v>5.0752153300999997E-2</v>
      </c>
      <c r="E346" s="69">
        <f t="shared" ca="1" si="11"/>
        <v>1.5139813632902754</v>
      </c>
      <c r="F346" s="249" t="s">
        <v>39</v>
      </c>
      <c r="G346" s="220"/>
      <c r="H346" s="220"/>
      <c r="I346" s="220"/>
      <c r="J346" s="250" t="str" cm="1">
        <f t="array" aca="1" ref="J346" ca="1">IFERROR(INDEX(_xlfn.ANCHORARRAY($S$12),ROW()-12+1),"")</f>
        <v>NDAQ</v>
      </c>
      <c r="K346" s="70">
        <f ca="1">IF(Tabla16[[#This Row],[Ticker]]="",0,SUMIF(Tablaholdings[Ticker],Tabla16[[#This Row],[Ticker]],Tablaholdings[Peso Real en Portafolio])/100)</f>
        <v>2.5468208681965639E-4</v>
      </c>
      <c r="L346" s="220"/>
      <c r="M346" s="220"/>
      <c r="N346" s="220"/>
      <c r="O346" s="220"/>
      <c r="P346" s="220"/>
      <c r="Q346" s="220"/>
      <c r="S346" s="227" t="str">
        <f ca="1"/>
        <v>NDAQ</v>
      </c>
      <c r="AB346" s="14" t="s">
        <v>1100</v>
      </c>
    </row>
    <row r="347" spans="1:28" ht="30" customHeight="1" x14ac:dyDescent="0.55000000000000004">
      <c r="A347" s="245" t="s">
        <v>1098</v>
      </c>
      <c r="B347" s="246" t="s">
        <v>1101</v>
      </c>
      <c r="C347" s="247">
        <v>3.6710720000000001</v>
      </c>
      <c r="D347" s="248">
        <f t="shared" si="10"/>
        <v>3.6710720000000002E-2</v>
      </c>
      <c r="E347" s="69">
        <f t="shared" ca="1" si="11"/>
        <v>1.4741364118081637</v>
      </c>
      <c r="F347" s="249" t="s">
        <v>37</v>
      </c>
      <c r="G347" s="220"/>
      <c r="H347" s="220"/>
      <c r="I347" s="220"/>
      <c r="J347" s="250" t="str" cm="1">
        <f t="array" aca="1" ref="J347" ca="1">IFERROR(INDEX(_xlfn.ANCHORARRAY($S$12),ROW()-12+1),"")</f>
        <v>OXY</v>
      </c>
      <c r="K347" s="70">
        <f ca="1">IF(Tabla16[[#This Row],[Ticker]]="",0,SUMIF(Tablaholdings[Ticker],Tabla16[[#This Row],[Ticker]],Tablaholdings[Peso Real en Portafolio])/100)</f>
        <v>2.5391110169305806E-4</v>
      </c>
      <c r="L347" s="220"/>
      <c r="M347" s="220"/>
      <c r="N347" s="220"/>
      <c r="O347" s="220"/>
      <c r="P347" s="220"/>
      <c r="Q347" s="220"/>
      <c r="S347" s="227" t="str">
        <f ca="1"/>
        <v>OXY</v>
      </c>
      <c r="AB347" s="14" t="s">
        <v>1102</v>
      </c>
    </row>
    <row r="348" spans="1:28" ht="30" customHeight="1" x14ac:dyDescent="0.55000000000000004">
      <c r="A348" s="245" t="s">
        <v>1103</v>
      </c>
      <c r="B348" s="246" t="s">
        <v>1104</v>
      </c>
      <c r="C348" s="247">
        <v>2.1623E-2</v>
      </c>
      <c r="D348" s="248">
        <f t="shared" si="10"/>
        <v>2.1623000000000001E-4</v>
      </c>
      <c r="E348" s="69">
        <f t="shared" ca="1" si="11"/>
        <v>8.6828184335605296E-3</v>
      </c>
      <c r="F348" s="249" t="s">
        <v>37</v>
      </c>
      <c r="G348" s="220"/>
      <c r="H348" s="220"/>
      <c r="I348" s="220"/>
      <c r="J348" s="253" t="str" cm="1">
        <f t="array" aca="1" ref="J348" ca="1">IFERROR(INDEX(_xlfn.ANCHORARRAY($S$12),ROW()-12+1),"")</f>
        <v>KDP</v>
      </c>
      <c r="K348" s="70">
        <f ca="1">IF(Tabla16[[#This Row],[Ticker]]="",0,SUMIF(Tablaholdings[Ticker],Tabla16[[#This Row],[Ticker]],Tablaholdings[Peso Real en Portafolio])/100)</f>
        <v>2.505179640265184E-4</v>
      </c>
      <c r="L348" s="220"/>
      <c r="M348" s="220"/>
      <c r="N348" s="220"/>
      <c r="O348" s="220"/>
      <c r="P348" s="220"/>
      <c r="Q348" s="220"/>
      <c r="S348" s="227" t="str">
        <f ca="1"/>
        <v>KDP</v>
      </c>
      <c r="AB348" s="14" t="s">
        <v>1105</v>
      </c>
    </row>
    <row r="349" spans="1:28" ht="30" customHeight="1" x14ac:dyDescent="0.55000000000000004">
      <c r="A349" s="245" t="s">
        <v>1106</v>
      </c>
      <c r="B349" s="246" t="s">
        <v>1107</v>
      </c>
      <c r="C349" s="247">
        <v>2.4910999999999999E-2</v>
      </c>
      <c r="D349" s="248">
        <f t="shared" si="10"/>
        <v>2.4910999999999998E-4</v>
      </c>
      <c r="E349" s="69">
        <f t="shared" ca="1" si="11"/>
        <v>1.0003130462860211E-2</v>
      </c>
      <c r="F349" s="249" t="s">
        <v>37</v>
      </c>
      <c r="G349" s="220"/>
      <c r="H349" s="220"/>
      <c r="I349" s="220"/>
      <c r="J349" s="250" t="str" cm="1">
        <f t="array" aca="1" ref="J349" ca="1">IFERROR(INDEX(_xlfn.ANCHORARRAY($S$12),ROW()-12+1),"")</f>
        <v>LPLA</v>
      </c>
      <c r="K349" s="70">
        <f ca="1">IF(Tabla16[[#This Row],[Ticker]]="",0,SUMIF(Tablaholdings[Ticker],Tabla16[[#This Row],[Ticker]],Tablaholdings[Peso Real en Portafolio])/100)</f>
        <v>2.4939752611346101E-4</v>
      </c>
      <c r="L349" s="220"/>
      <c r="M349" s="220"/>
      <c r="N349" s="220"/>
      <c r="O349" s="220"/>
      <c r="P349" s="220"/>
      <c r="Q349" s="220"/>
      <c r="S349" s="227" t="str">
        <f ca="1"/>
        <v>LPLA</v>
      </c>
      <c r="AB349" s="14" t="s">
        <v>1108</v>
      </c>
    </row>
    <row r="350" spans="1:28" ht="30" customHeight="1" x14ac:dyDescent="0.55000000000000004">
      <c r="A350" s="245" t="s">
        <v>1109</v>
      </c>
      <c r="B350" s="246" t="s">
        <v>1110</v>
      </c>
      <c r="C350" s="247">
        <v>5.9269000000000002E-2</v>
      </c>
      <c r="D350" s="248">
        <f t="shared" si="10"/>
        <v>5.9268999999999999E-4</v>
      </c>
      <c r="E350" s="69">
        <f t="shared" ca="1" si="11"/>
        <v>2.3799748681436392E-2</v>
      </c>
      <c r="F350" s="249" t="s">
        <v>37</v>
      </c>
      <c r="G350" s="220"/>
      <c r="H350" s="220"/>
      <c r="I350" s="220"/>
      <c r="J350" s="253" t="str" cm="1">
        <f t="array" aca="1" ref="J350" ca="1">IFERROR(INDEX(_xlfn.ANCHORARRAY($S$12),ROW()-12+1),"")</f>
        <v>MKL</v>
      </c>
      <c r="K350" s="70">
        <f ca="1">IF(Tabla16[[#This Row],[Ticker]]="",0,SUMIF(Tablaholdings[Ticker],Tabla16[[#This Row],[Ticker]],Tablaholdings[Peso Real en Portafolio])/100)</f>
        <v>2.4679783269177419E-4</v>
      </c>
      <c r="L350" s="220"/>
      <c r="M350" s="220"/>
      <c r="N350" s="220"/>
      <c r="O350" s="220"/>
      <c r="P350" s="220"/>
      <c r="Q350" s="220"/>
      <c r="S350" s="227" t="str">
        <f ca="1"/>
        <v>MKL</v>
      </c>
      <c r="AB350" s="14" t="s">
        <v>1111</v>
      </c>
    </row>
    <row r="351" spans="1:28" ht="30" customHeight="1" x14ac:dyDescent="0.55000000000000004">
      <c r="A351" s="245" t="s">
        <v>1112</v>
      </c>
      <c r="B351" s="246" t="s">
        <v>1113</v>
      </c>
      <c r="C351" s="247">
        <v>0.44943300000000003</v>
      </c>
      <c r="D351" s="248">
        <f t="shared" si="10"/>
        <v>4.4943300000000004E-3</v>
      </c>
      <c r="E351" s="69">
        <f t="shared" ca="1" si="11"/>
        <v>0.18047195750129075</v>
      </c>
      <c r="F351" s="249" t="s">
        <v>37</v>
      </c>
      <c r="G351" s="220"/>
      <c r="H351" s="220"/>
      <c r="I351" s="220"/>
      <c r="J351" s="250" t="str" cm="1">
        <f t="array" aca="1" ref="J351" ca="1">IFERROR(INDEX(_xlfn.ANCHORARRAY($S$12),ROW()-12+1),"")</f>
        <v>CCI</v>
      </c>
      <c r="K351" s="70">
        <f ca="1">IF(Tabla16[[#This Row],[Ticker]]="",0,SUMIF(Tablaholdings[Ticker],Tabla16[[#This Row],[Ticker]],Tablaholdings[Peso Real en Portafolio])/100)</f>
        <v>2.4530979887444514E-4</v>
      </c>
      <c r="L351" s="220"/>
      <c r="M351" s="220"/>
      <c r="N351" s="220"/>
      <c r="O351" s="220"/>
      <c r="P351" s="220"/>
      <c r="Q351" s="220"/>
      <c r="S351" s="227" t="str">
        <f ca="1"/>
        <v>CCI</v>
      </c>
      <c r="AB351" s="14" t="s">
        <v>1114</v>
      </c>
    </row>
    <row r="352" spans="1:28" ht="30" customHeight="1" x14ac:dyDescent="0.55000000000000004">
      <c r="A352" s="251" t="s">
        <v>1115</v>
      </c>
      <c r="B352" s="252" t="s">
        <v>1116</v>
      </c>
      <c r="C352" s="140">
        <v>5.1879246800000001E-2</v>
      </c>
      <c r="D352" s="248">
        <f t="shared" si="10"/>
        <v>5.1879246799999999E-4</v>
      </c>
      <c r="E352" s="69">
        <f t="shared" ca="1" si="11"/>
        <v>1.5570853107681778E-2</v>
      </c>
      <c r="F352" s="249" t="s">
        <v>38</v>
      </c>
      <c r="G352" s="220"/>
      <c r="H352" s="220"/>
      <c r="I352" s="220"/>
      <c r="J352" s="250" t="str" cm="1">
        <f t="array" aca="1" ref="J352" ca="1">IFERROR(INDEX(_xlfn.ANCHORARRAY($S$12),ROW()-12+1),"")</f>
        <v>FANG</v>
      </c>
      <c r="K352" s="70">
        <f ca="1">IF(Tabla16[[#This Row],[Ticker]]="",0,SUMIF(Tablaholdings[Ticker],Tabla16[[#This Row],[Ticker]],Tablaholdings[Peso Real en Portafolio])/100)</f>
        <v>2.4370759540823299E-4</v>
      </c>
      <c r="L352" s="220"/>
      <c r="M352" s="220"/>
      <c r="N352" s="220"/>
      <c r="O352" s="220"/>
      <c r="P352" s="220"/>
      <c r="Q352" s="220"/>
      <c r="S352" s="227" t="str">
        <f ca="1"/>
        <v>FANG</v>
      </c>
      <c r="AB352" s="14" t="s">
        <v>1117</v>
      </c>
    </row>
    <row r="353" spans="1:28" ht="30" customHeight="1" x14ac:dyDescent="0.55000000000000004">
      <c r="A353" s="251" t="s">
        <v>1115</v>
      </c>
      <c r="B353" s="252" t="s">
        <v>1116</v>
      </c>
      <c r="C353" s="140">
        <v>3.8462084000000001E-2</v>
      </c>
      <c r="D353" s="248">
        <f t="shared" si="10"/>
        <v>3.8462084000000002E-4</v>
      </c>
      <c r="E353" s="69">
        <f t="shared" ca="1" si="11"/>
        <v>1.1473577884262447E-2</v>
      </c>
      <c r="F353" s="249" t="s">
        <v>39</v>
      </c>
      <c r="G353" s="220"/>
      <c r="H353" s="220"/>
      <c r="I353" s="220"/>
      <c r="J353" s="250" t="str" cm="1">
        <f t="array" aca="1" ref="J353" ca="1">IFERROR(INDEX(_xlfn.ANCHORARRAY($S$12),ROW()-12+1),"")</f>
        <v>KR</v>
      </c>
      <c r="K353" s="70">
        <f ca="1">IF(Tabla16[[#This Row],[Ticker]]="",0,SUMIF(Tablaholdings[Ticker],Tabla16[[#This Row],[Ticker]],Tablaholdings[Peso Real en Portafolio])/100)</f>
        <v>2.4234230924654839E-4</v>
      </c>
      <c r="L353" s="220"/>
      <c r="M353" s="220"/>
      <c r="N353" s="220"/>
      <c r="O353" s="220"/>
      <c r="P353" s="220"/>
      <c r="Q353" s="220"/>
      <c r="S353" s="227" t="str">
        <f ca="1"/>
        <v>KR</v>
      </c>
      <c r="AB353" s="14" t="s">
        <v>1118</v>
      </c>
    </row>
    <row r="354" spans="1:28" ht="30" customHeight="1" x14ac:dyDescent="0.55000000000000004">
      <c r="A354" s="251" t="s">
        <v>1119</v>
      </c>
      <c r="B354" s="252" t="s">
        <v>1120</v>
      </c>
      <c r="C354" s="140">
        <v>0.20013317420000001</v>
      </c>
      <c r="D354" s="248">
        <f t="shared" si="10"/>
        <v>2.0013317419999999E-3</v>
      </c>
      <c r="E354" s="69">
        <f t="shared" ca="1" si="11"/>
        <v>5.9701485790742997E-2</v>
      </c>
      <c r="F354" s="249" t="s">
        <v>39</v>
      </c>
      <c r="G354" s="220"/>
      <c r="H354" s="220"/>
      <c r="I354" s="220"/>
      <c r="J354" s="250" t="str" cm="1">
        <f t="array" aca="1" ref="J354" ca="1">IFERROR(INDEX(_xlfn.ANCHORARRAY($S$12),ROW()-12+1),"")</f>
        <v>PEG</v>
      </c>
      <c r="K354" s="70">
        <f ca="1">IF(Tabla16[[#This Row],[Ticker]]="",0,SUMIF(Tablaholdings[Ticker],Tabla16[[#This Row],[Ticker]],Tablaholdings[Peso Real en Portafolio])/100)</f>
        <v>2.4216160960750189E-4</v>
      </c>
      <c r="L354" s="220"/>
      <c r="M354" s="220"/>
      <c r="N354" s="220"/>
      <c r="O354" s="220"/>
      <c r="P354" s="220"/>
      <c r="Q354" s="220"/>
      <c r="S354" s="227" t="str">
        <f ca="1"/>
        <v>PEG</v>
      </c>
      <c r="AB354" s="14" t="s">
        <v>1121</v>
      </c>
    </row>
    <row r="355" spans="1:28" ht="30" customHeight="1" x14ac:dyDescent="0.55000000000000004">
      <c r="A355" s="245" t="s">
        <v>1119</v>
      </c>
      <c r="B355" s="246" t="s">
        <v>1120</v>
      </c>
      <c r="C355" s="247">
        <v>8.5749000000000006E-2</v>
      </c>
      <c r="D355" s="248">
        <f t="shared" si="10"/>
        <v>8.5749000000000003E-4</v>
      </c>
      <c r="E355" s="69">
        <f t="shared" ca="1" si="11"/>
        <v>3.4432918552438699E-2</v>
      </c>
      <c r="F355" s="249" t="s">
        <v>37</v>
      </c>
      <c r="G355" s="220"/>
      <c r="H355" s="220"/>
      <c r="I355" s="220"/>
      <c r="J355" s="250" t="str" cm="1">
        <f t="array" aca="1" ref="J355" ca="1">IFERROR(INDEX(_xlfn.ANCHORARRAY($S$12),ROW()-12+1),"")</f>
        <v>PAG</v>
      </c>
      <c r="K355" s="70">
        <f ca="1">IF(Tabla16[[#This Row],[Ticker]]="",0,SUMIF(Tablaholdings[Ticker],Tabla16[[#This Row],[Ticker]],Tablaholdings[Peso Real en Portafolio])/100)</f>
        <v>2.4120481334982579E-4</v>
      </c>
      <c r="L355" s="220"/>
      <c r="M355" s="220"/>
      <c r="N355" s="220"/>
      <c r="O355" s="220"/>
      <c r="P355" s="220"/>
      <c r="Q355" s="220"/>
      <c r="S355" s="227" t="str">
        <f ca="1"/>
        <v>PAG</v>
      </c>
      <c r="AB355" s="14" t="s">
        <v>1122</v>
      </c>
    </row>
    <row r="356" spans="1:28" ht="30" customHeight="1" x14ac:dyDescent="0.55000000000000004">
      <c r="A356" s="251" t="s">
        <v>1123</v>
      </c>
      <c r="B356" s="252" t="s">
        <v>1124</v>
      </c>
      <c r="C356" s="140">
        <v>2.23103547E-2</v>
      </c>
      <c r="D356" s="248">
        <f t="shared" si="10"/>
        <v>2.23103547E-4</v>
      </c>
      <c r="E356" s="69">
        <f t="shared" ca="1" si="11"/>
        <v>6.6961507200212038E-3</v>
      </c>
      <c r="F356" s="249" t="s">
        <v>38</v>
      </c>
      <c r="G356" s="220"/>
      <c r="H356" s="220"/>
      <c r="I356" s="220"/>
      <c r="J356" s="250" t="str" cm="1">
        <f t="array" aca="1" ref="J356" ca="1">IFERROR(INDEX(_xlfn.ANCHORARRAY($S$12),ROW()-12+1),"")</f>
        <v>CBOE</v>
      </c>
      <c r="K356" s="70">
        <f ca="1">IF(Tabla16[[#This Row],[Ticker]]="",0,SUMIF(Tablaholdings[Ticker],Tabla16[[#This Row],[Ticker]],Tablaholdings[Peso Real en Portafolio])/100)</f>
        <v>2.4117378491404776E-4</v>
      </c>
      <c r="L356" s="220"/>
      <c r="M356" s="220"/>
      <c r="N356" s="220"/>
      <c r="O356" s="220"/>
      <c r="P356" s="220"/>
      <c r="Q356" s="220"/>
      <c r="S356" s="227" t="str">
        <f ca="1"/>
        <v>CBOE</v>
      </c>
      <c r="AB356" s="14" t="s">
        <v>1125</v>
      </c>
    </row>
    <row r="357" spans="1:28" ht="30" customHeight="1" x14ac:dyDescent="0.55000000000000004">
      <c r="A357" s="245" t="s">
        <v>1126</v>
      </c>
      <c r="B357" s="246" t="s">
        <v>1127</v>
      </c>
      <c r="C357" s="247">
        <v>5.3712000000000003E-2</v>
      </c>
      <c r="D357" s="248">
        <f t="shared" si="10"/>
        <v>5.3711999999999998E-4</v>
      </c>
      <c r="E357" s="69">
        <f t="shared" ca="1" si="11"/>
        <v>2.1568308916588966E-2</v>
      </c>
      <c r="F357" s="249" t="s">
        <v>37</v>
      </c>
      <c r="G357" s="220"/>
      <c r="H357" s="220"/>
      <c r="I357" s="220"/>
      <c r="J357" s="253" t="str" cm="1">
        <f t="array" aca="1" ref="J357" ca="1">IFERROR(INDEX(_xlfn.ANCHORARRAY($S$12),ROW()-12+1),"")</f>
        <v>ED</v>
      </c>
      <c r="K357" s="70">
        <f ca="1">IF(Tabla16[[#This Row],[Ticker]]="",0,SUMIF(Tablaholdings[Ticker],Tabla16[[#This Row],[Ticker]],Tablaholdings[Peso Real en Portafolio])/100)</f>
        <v>2.4097300753732942E-4</v>
      </c>
      <c r="L357" s="220"/>
      <c r="M357" s="220"/>
      <c r="N357" s="220"/>
      <c r="O357" s="220"/>
      <c r="P357" s="220"/>
      <c r="Q357" s="220"/>
      <c r="S357" s="227" t="str">
        <f ca="1"/>
        <v>ED</v>
      </c>
      <c r="AB357" s="14" t="s">
        <v>1128</v>
      </c>
    </row>
    <row r="358" spans="1:28" ht="30" customHeight="1" x14ac:dyDescent="0.55000000000000004">
      <c r="A358" s="245" t="s">
        <v>1129</v>
      </c>
      <c r="B358" s="246" t="s">
        <v>1130</v>
      </c>
      <c r="C358" s="247">
        <v>1.9622000000000001E-2</v>
      </c>
      <c r="D358" s="248">
        <f t="shared" si="10"/>
        <v>1.9622000000000002E-4</v>
      </c>
      <c r="E358" s="69">
        <f t="shared" ca="1" si="11"/>
        <v>7.879307371933807E-3</v>
      </c>
      <c r="F358" s="249" t="s">
        <v>37</v>
      </c>
      <c r="G358" s="220"/>
      <c r="H358" s="220"/>
      <c r="I358" s="220"/>
      <c r="J358" s="250" t="str" cm="1">
        <f t="array" aca="1" ref="J358" ca="1">IFERROR(INDEX(_xlfn.ANCHORARRAY($S$12),ROW()-12+1),"")</f>
        <v>DHI</v>
      </c>
      <c r="K358" s="70">
        <f ca="1">IF(Tabla16[[#This Row],[Ticker]]="",0,SUMIF(Tablaholdings[Ticker],Tabla16[[#This Row],[Ticker]],Tablaholdings[Peso Real en Portafolio])/100)</f>
        <v>2.3845124368574729E-4</v>
      </c>
      <c r="L358" s="220"/>
      <c r="M358" s="220"/>
      <c r="N358" s="220"/>
      <c r="O358" s="220"/>
      <c r="P358" s="220"/>
      <c r="Q358" s="220"/>
      <c r="S358" s="227" t="str">
        <f ca="1"/>
        <v>DHI</v>
      </c>
      <c r="AB358" s="14" t="s">
        <v>1131</v>
      </c>
    </row>
    <row r="359" spans="1:28" ht="30" customHeight="1" x14ac:dyDescent="0.55000000000000004">
      <c r="A359" s="245" t="s">
        <v>1132</v>
      </c>
      <c r="B359" s="246" t="s">
        <v>1133</v>
      </c>
      <c r="C359" s="247">
        <v>4.8857999999999999E-2</v>
      </c>
      <c r="D359" s="248">
        <f t="shared" si="10"/>
        <v>4.8857999999999996E-4</v>
      </c>
      <c r="E359" s="69">
        <f t="shared" ca="1" si="11"/>
        <v>1.96191621434075E-2</v>
      </c>
      <c r="F359" s="249" t="s">
        <v>37</v>
      </c>
      <c r="G359" s="220"/>
      <c r="H359" s="220"/>
      <c r="I359" s="220"/>
      <c r="J359" s="250" t="str" cm="1">
        <f t="array" aca="1" ref="J359" ca="1">IFERROR(INDEX(_xlfn.ANCHORARRAY($S$12),ROW()-12+1),"")</f>
        <v>GRMN</v>
      </c>
      <c r="K359" s="70">
        <f ca="1">IF(Tabla16[[#This Row],[Ticker]]="",0,SUMIF(Tablaholdings[Ticker],Tabla16[[#This Row],[Ticker]],Tablaholdings[Peso Real en Portafolio])/100)</f>
        <v>2.3799748681436393E-4</v>
      </c>
      <c r="L359" s="220"/>
      <c r="M359" s="220"/>
      <c r="N359" s="220"/>
      <c r="O359" s="220"/>
      <c r="P359" s="220"/>
      <c r="Q359" s="220"/>
      <c r="S359" s="227" t="str">
        <f ca="1"/>
        <v>GRMN</v>
      </c>
      <c r="AB359" s="14" t="s">
        <v>1134</v>
      </c>
    </row>
    <row r="360" spans="1:28" ht="30" customHeight="1" x14ac:dyDescent="0.55000000000000004">
      <c r="A360" s="245" t="s">
        <v>1135</v>
      </c>
      <c r="B360" s="246" t="s">
        <v>1136</v>
      </c>
      <c r="C360" s="247">
        <v>0.10496800000000001</v>
      </c>
      <c r="D360" s="248">
        <f t="shared" si="10"/>
        <v>1.0496800000000001E-3</v>
      </c>
      <c r="E360" s="69">
        <f t="shared" ca="1" si="11"/>
        <v>4.2150399358737538E-2</v>
      </c>
      <c r="F360" s="249" t="s">
        <v>37</v>
      </c>
      <c r="G360" s="220"/>
      <c r="H360" s="220"/>
      <c r="I360" s="220"/>
      <c r="J360" s="253" t="str" cm="1">
        <f t="array" aca="1" ref="J360" ca="1">IFERROR(INDEX(_xlfn.ANCHORARRAY($S$12),ROW()-12+1),"")</f>
        <v>JBL</v>
      </c>
      <c r="K360" s="70">
        <f ca="1">IF(Tabla16[[#This Row],[Ticker]]="",0,SUMIF(Tablaholdings[Ticker],Tabla16[[#This Row],[Ticker]],Tablaholdings[Peso Real en Portafolio])/100)</f>
        <v>2.3604994626019618E-4</v>
      </c>
      <c r="L360" s="220"/>
      <c r="M360" s="220"/>
      <c r="N360" s="220"/>
      <c r="O360" s="220"/>
      <c r="P360" s="220"/>
      <c r="Q360" s="220"/>
      <c r="S360" s="227" t="str">
        <f ca="1"/>
        <v>JBL</v>
      </c>
      <c r="AB360" s="14" t="s">
        <v>1137</v>
      </c>
    </row>
    <row r="361" spans="1:28" ht="30" customHeight="1" x14ac:dyDescent="0.55000000000000004">
      <c r="A361" s="251" t="s">
        <v>1138</v>
      </c>
      <c r="B361" s="252" t="s">
        <v>1139</v>
      </c>
      <c r="C361" s="140">
        <v>3.2949197663000001</v>
      </c>
      <c r="D361" s="248">
        <f t="shared" si="10"/>
        <v>3.2949197663000002E-2</v>
      </c>
      <c r="E361" s="69">
        <f t="shared" ca="1" si="11"/>
        <v>0.98892553086669854</v>
      </c>
      <c r="F361" s="249" t="s">
        <v>38</v>
      </c>
      <c r="G361" s="220"/>
      <c r="H361" s="220"/>
      <c r="I361" s="220"/>
      <c r="J361" s="253" t="str" cm="1">
        <f t="array" aca="1" ref="J361" ca="1">IFERROR(INDEX(_xlfn.ANCHORARRAY($S$12),ROW()-12+1),"")</f>
        <v>CPNG</v>
      </c>
      <c r="K361" s="70">
        <f ca="1">IF(Tabla16[[#This Row],[Ticker]]="",0,SUMIF(Tablaholdings[Ticker],Tabla16[[#This Row],[Ticker]],Tablaholdings[Peso Real en Portafolio])/100)</f>
        <v>2.3604932863630261E-4</v>
      </c>
      <c r="L361" s="220"/>
      <c r="M361" s="220"/>
      <c r="N361" s="220"/>
      <c r="O361" s="220"/>
      <c r="P361" s="220"/>
      <c r="Q361" s="220"/>
      <c r="S361" s="227" t="str">
        <f ca="1"/>
        <v>CPNG</v>
      </c>
      <c r="AB361" s="14" t="s">
        <v>1140</v>
      </c>
    </row>
    <row r="362" spans="1:28" ht="30" customHeight="1" x14ac:dyDescent="0.55000000000000004">
      <c r="A362" s="245" t="s">
        <v>1138</v>
      </c>
      <c r="B362" s="246" t="s">
        <v>1139</v>
      </c>
      <c r="C362" s="247">
        <v>0.47170000000000001</v>
      </c>
      <c r="D362" s="248">
        <f t="shared" si="10"/>
        <v>4.7169999999999998E-3</v>
      </c>
      <c r="E362" s="69">
        <f t="shared" ca="1" si="11"/>
        <v>0.18941337719606446</v>
      </c>
      <c r="F362" s="249" t="s">
        <v>37</v>
      </c>
      <c r="G362" s="220"/>
      <c r="H362" s="220"/>
      <c r="I362" s="220"/>
      <c r="J362" s="250" t="str" cm="1">
        <f t="array" aca="1" ref="J362" ca="1">IFERROR(INDEX(_xlfn.ANCHORARRAY($S$12),ROW()-12+1),"")</f>
        <v>FWONK</v>
      </c>
      <c r="K362" s="70">
        <f ca="1">IF(Tabla16[[#This Row],[Ticker]]="",0,SUMIF(Tablaholdings[Ticker],Tabla16[[#This Row],[Ticker]],Tablaholdings[Peso Real en Portafolio])/100)</f>
        <v>2.3600732407335939E-4</v>
      </c>
      <c r="L362" s="220"/>
      <c r="M362" s="220"/>
      <c r="N362" s="220"/>
      <c r="O362" s="220"/>
      <c r="P362" s="220"/>
      <c r="Q362" s="220"/>
      <c r="S362" s="227" t="str">
        <f ca="1"/>
        <v>FWONK</v>
      </c>
      <c r="AB362" s="14" t="s">
        <v>1141</v>
      </c>
    </row>
    <row r="363" spans="1:28" ht="30" customHeight="1" x14ac:dyDescent="0.55000000000000004">
      <c r="A363" s="251" t="s">
        <v>1142</v>
      </c>
      <c r="B363" s="252" t="s">
        <v>1143</v>
      </c>
      <c r="C363" s="140">
        <v>0.1052588711</v>
      </c>
      <c r="D363" s="248">
        <f t="shared" si="10"/>
        <v>1.0525887109999999E-3</v>
      </c>
      <c r="E363" s="69">
        <f t="shared" ca="1" si="11"/>
        <v>3.1399646872368944E-2</v>
      </c>
      <c r="F363" s="249" t="s">
        <v>39</v>
      </c>
      <c r="G363" s="220"/>
      <c r="H363" s="220"/>
      <c r="I363" s="220"/>
      <c r="J363" s="250" t="str" cm="1">
        <f t="array" aca="1" ref="J363" ca="1">IFERROR(INDEX(_xlfn.ANCHORARRAY($S$12),ROW()-12+1),"")</f>
        <v>IRM</v>
      </c>
      <c r="K363" s="70">
        <f ca="1">IF(Tabla16[[#This Row],[Ticker]]="",0,SUMIF(Tablaholdings[Ticker],Tabla16[[#This Row],[Ticker]],Tablaholdings[Peso Real en Portafolio])/100)</f>
        <v>2.3411043680109718E-4</v>
      </c>
      <c r="L363" s="220"/>
      <c r="M363" s="220"/>
      <c r="N363" s="220"/>
      <c r="O363" s="220"/>
      <c r="P363" s="220"/>
      <c r="Q363" s="220"/>
      <c r="S363" s="227" t="str">
        <f ca="1"/>
        <v>IRM</v>
      </c>
      <c r="AB363" s="14" t="s">
        <v>1144</v>
      </c>
    </row>
    <row r="364" spans="1:28" ht="30" customHeight="1" x14ac:dyDescent="0.55000000000000004">
      <c r="A364" s="245" t="s">
        <v>1145</v>
      </c>
      <c r="B364" s="246" t="s">
        <v>1146</v>
      </c>
      <c r="C364" s="247">
        <v>5.7858E-2</v>
      </c>
      <c r="D364" s="248">
        <f t="shared" si="10"/>
        <v>5.7857999999999998E-4</v>
      </c>
      <c r="E364" s="69">
        <f t="shared" ca="1" si="11"/>
        <v>2.3233154924337286E-2</v>
      </c>
      <c r="F364" s="249" t="s">
        <v>37</v>
      </c>
      <c r="G364" s="220"/>
      <c r="H364" s="220"/>
      <c r="I364" s="220"/>
      <c r="J364" s="250" t="str" cm="1">
        <f t="array" aca="1" ref="J364" ca="1">IFERROR(INDEX(_xlfn.ANCHORARRAY($S$12),ROW()-12+1),"")</f>
        <v>HIG</v>
      </c>
      <c r="K364" s="70">
        <f ca="1">IF(Tabla16[[#This Row],[Ticker]]="",0,SUMIF(Tablaholdings[Ticker],Tabla16[[#This Row],[Ticker]],Tablaholdings[Peso Real en Portafolio])/100)</f>
        <v>2.3233154924337285E-4</v>
      </c>
      <c r="L364" s="220"/>
      <c r="M364" s="220"/>
      <c r="N364" s="220"/>
      <c r="O364" s="220"/>
      <c r="P364" s="220"/>
      <c r="Q364" s="220"/>
      <c r="S364" s="227" t="str">
        <f ca="1"/>
        <v>HIG</v>
      </c>
      <c r="AB364" s="14" t="s">
        <v>1147</v>
      </c>
    </row>
    <row r="365" spans="1:28" ht="30" customHeight="1" x14ac:dyDescent="0.55000000000000004">
      <c r="A365" s="245" t="s">
        <v>1148</v>
      </c>
      <c r="B365" s="246" t="s">
        <v>1149</v>
      </c>
      <c r="C365" s="247">
        <v>2.0756E-2</v>
      </c>
      <c r="D365" s="248">
        <f t="shared" si="10"/>
        <v>2.0756E-4</v>
      </c>
      <c r="E365" s="69">
        <f t="shared" ca="1" si="11"/>
        <v>8.3346704623309606E-3</v>
      </c>
      <c r="F365" s="249" t="s">
        <v>37</v>
      </c>
      <c r="G365" s="220"/>
      <c r="H365" s="220"/>
      <c r="I365" s="220"/>
      <c r="J365" s="250" t="str" cm="1">
        <f t="array" aca="1" ref="J365" ca="1">IFERROR(INDEX(_xlfn.ANCHORARRAY($S$12),ROW()-12+1),"")</f>
        <v>PCG</v>
      </c>
      <c r="K365" s="70">
        <f ca="1">IF(Tabla16[[#This Row],[Ticker]]="",0,SUMIF(Tablaholdings[Ticker],Tabla16[[#This Row],[Ticker]],Tablaholdings[Peso Real en Portafolio])/100)</f>
        <v>2.2917532888136084E-4</v>
      </c>
      <c r="L365" s="220"/>
      <c r="M365" s="220"/>
      <c r="N365" s="220"/>
      <c r="O365" s="220"/>
      <c r="P365" s="220"/>
      <c r="Q365" s="220"/>
      <c r="S365" s="227" t="str">
        <f ca="1"/>
        <v>PCG</v>
      </c>
      <c r="AB365" s="14" t="s">
        <v>1150</v>
      </c>
    </row>
    <row r="366" spans="1:28" ht="30" customHeight="1" x14ac:dyDescent="0.55000000000000004">
      <c r="A366" s="251" t="s">
        <v>1151</v>
      </c>
      <c r="B366" s="252" t="s">
        <v>1152</v>
      </c>
      <c r="C366" s="140">
        <v>0.25899433150000001</v>
      </c>
      <c r="D366" s="248">
        <f t="shared" si="10"/>
        <v>2.589943315E-3</v>
      </c>
      <c r="E366" s="69">
        <f t="shared" ca="1" si="11"/>
        <v>7.7260286625335656E-2</v>
      </c>
      <c r="F366" s="249" t="s">
        <v>39</v>
      </c>
      <c r="G366" s="220"/>
      <c r="H366" s="220"/>
      <c r="I366" s="220"/>
      <c r="J366" s="250" t="str" cm="1">
        <f t="array" aca="1" ref="J366" ca="1">IFERROR(INDEX(_xlfn.ANCHORARRAY($S$12),ROW()-12+1),"")</f>
        <v>WEC</v>
      </c>
      <c r="K366" s="70">
        <f ca="1">IF(Tabla16[[#This Row],[Ticker]]="",0,SUMIF(Tablaholdings[Ticker],Tabla16[[#This Row],[Ticker]],Tablaholdings[Peso Real en Portafolio])/100)</f>
        <v>2.2738439468103342E-4</v>
      </c>
      <c r="L366" s="220"/>
      <c r="M366" s="220"/>
      <c r="N366" s="220"/>
      <c r="O366" s="220"/>
      <c r="P366" s="220"/>
      <c r="Q366" s="220"/>
      <c r="S366" s="227" t="str">
        <f ca="1"/>
        <v>WEC</v>
      </c>
      <c r="AB366" s="14" t="s">
        <v>1153</v>
      </c>
    </row>
    <row r="367" spans="1:28" ht="30" customHeight="1" x14ac:dyDescent="0.55000000000000004">
      <c r="A367" s="245" t="s">
        <v>1151</v>
      </c>
      <c r="B367" s="246" t="s">
        <v>1154</v>
      </c>
      <c r="C367" s="247">
        <v>0.111913</v>
      </c>
      <c r="D367" s="248">
        <f t="shared" si="10"/>
        <v>1.1191300000000001E-3</v>
      </c>
      <c r="E367" s="69">
        <f t="shared" ca="1" si="11"/>
        <v>4.4939197121355016E-2</v>
      </c>
      <c r="F367" s="249" t="s">
        <v>37</v>
      </c>
      <c r="G367" s="220"/>
      <c r="H367" s="220"/>
      <c r="I367" s="220"/>
      <c r="J367" s="250" t="str" cm="1">
        <f t="array" aca="1" ref="J367" ca="1">IFERROR(INDEX(_xlfn.ANCHORARRAY($S$12),ROW()-12+1),"")</f>
        <v>DECK</v>
      </c>
      <c r="K367" s="70">
        <f ca="1">IF(Tabla16[[#This Row],[Ticker]]="",0,SUMIF(Tablaholdings[Ticker],Tabla16[[#This Row],[Ticker]],Tablaholdings[Peso Real en Portafolio])/100)</f>
        <v>2.2688522875415672E-4</v>
      </c>
      <c r="L367" s="220"/>
      <c r="M367" s="220"/>
      <c r="N367" s="220"/>
      <c r="O367" s="220"/>
      <c r="P367" s="220"/>
      <c r="Q367" s="220"/>
      <c r="S367" s="227" t="str">
        <f ca="1"/>
        <v>DECK</v>
      </c>
      <c r="AB367" s="14" t="s">
        <v>1155</v>
      </c>
    </row>
    <row r="368" spans="1:28" ht="30" customHeight="1" x14ac:dyDescent="0.55000000000000004">
      <c r="A368" s="245" t="s">
        <v>1156</v>
      </c>
      <c r="B368" s="246" t="s">
        <v>1157</v>
      </c>
      <c r="C368" s="247">
        <v>0.216701</v>
      </c>
      <c r="D368" s="248">
        <f t="shared" si="10"/>
        <v>2.16701E-3</v>
      </c>
      <c r="E368" s="69">
        <f t="shared" ca="1" si="11"/>
        <v>8.7017316624473956E-2</v>
      </c>
      <c r="F368" s="249" t="s">
        <v>37</v>
      </c>
      <c r="G368" s="220"/>
      <c r="H368" s="220"/>
      <c r="I368" s="220"/>
      <c r="J368" s="253" t="str" cm="1">
        <f t="array" aca="1" ref="J368" ca="1">IFERROR(INDEX(_xlfn.ANCHORARRAY($S$12),ROW()-12+1),"")</f>
        <v>CRS</v>
      </c>
      <c r="K368" s="70">
        <f ca="1">IF(Tabla16[[#This Row],[Ticker]]="",0,SUMIF(Tablaholdings[Ticker],Tabla16[[#This Row],[Ticker]],Tablaholdings[Peso Real en Portafolio])/100)</f>
        <v>2.2508061959205692E-4</v>
      </c>
      <c r="L368" s="220"/>
      <c r="M368" s="220"/>
      <c r="N368" s="220"/>
      <c r="O368" s="220"/>
      <c r="P368" s="220"/>
      <c r="Q368" s="220"/>
      <c r="S368" s="227" t="str">
        <f ca="1"/>
        <v>CRS</v>
      </c>
      <c r="AB368" s="14" t="s">
        <v>1158</v>
      </c>
    </row>
    <row r="369" spans="1:28" ht="30" customHeight="1" x14ac:dyDescent="0.55000000000000004">
      <c r="A369" s="251" t="s">
        <v>1159</v>
      </c>
      <c r="B369" s="252" t="s">
        <v>1160</v>
      </c>
      <c r="C369" s="140">
        <v>0.22501997139999999</v>
      </c>
      <c r="D369" s="248">
        <f t="shared" si="10"/>
        <v>2.2501997139999998E-3</v>
      </c>
      <c r="E369" s="69">
        <f t="shared" ca="1" si="11"/>
        <v>6.7125436244494921E-2</v>
      </c>
      <c r="F369" s="249" t="s">
        <v>39</v>
      </c>
      <c r="G369" s="220"/>
      <c r="H369" s="220"/>
      <c r="I369" s="220"/>
      <c r="J369" s="250" t="str" cm="1">
        <f t="array" aca="1" ref="J369" ca="1">IFERROR(INDEX(_xlfn.ANCHORARRAY($S$12),ROW()-12+1),"")</f>
        <v>PRU</v>
      </c>
      <c r="K369" s="70">
        <f ca="1">IF(Tabla16[[#This Row],[Ticker]]="",0,SUMIF(Tablaholdings[Ticker],Tabla16[[#This Row],[Ticker]],Tablaholdings[Peso Real en Portafolio])/100)</f>
        <v>2.2396716372928758E-4</v>
      </c>
      <c r="L369" s="220"/>
      <c r="M369" s="220"/>
      <c r="N369" s="220"/>
      <c r="O369" s="220"/>
      <c r="P369" s="220"/>
      <c r="Q369" s="220"/>
      <c r="S369" s="227" t="str">
        <f ca="1"/>
        <v>PRU</v>
      </c>
      <c r="AB369" s="14" t="s">
        <v>1161</v>
      </c>
    </row>
    <row r="370" spans="1:28" ht="30" customHeight="1" x14ac:dyDescent="0.55000000000000004">
      <c r="A370" s="245" t="s">
        <v>1159</v>
      </c>
      <c r="B370" s="246" t="s">
        <v>1162</v>
      </c>
      <c r="C370" s="247">
        <v>9.4869999999999996E-2</v>
      </c>
      <c r="D370" s="248">
        <f t="shared" si="10"/>
        <v>9.4869999999999991E-4</v>
      </c>
      <c r="E370" s="69">
        <f t="shared" ca="1" si="11"/>
        <v>3.8095499458534313E-2</v>
      </c>
      <c r="F370" s="249" t="s">
        <v>37</v>
      </c>
      <c r="G370" s="220"/>
      <c r="H370" s="220"/>
      <c r="I370" s="220"/>
      <c r="J370" s="250" t="str" cm="1">
        <f t="array" aca="1" ref="J370" ca="1">IFERROR(INDEX(_xlfn.ANCHORARRAY($S$12),ROW()-12+1),"")</f>
        <v>SYY</v>
      </c>
      <c r="K370" s="70">
        <f ca="1">IF(Tabla16[[#This Row],[Ticker]]="",0,SUMIF(Tablaholdings[Ticker],Tabla16[[#This Row],[Ticker]],Tablaholdings[Peso Real en Portafolio])/100)</f>
        <v>2.2032907766315161E-4</v>
      </c>
      <c r="L370" s="220"/>
      <c r="M370" s="220"/>
      <c r="N370" s="220"/>
      <c r="O370" s="220"/>
      <c r="P370" s="220"/>
      <c r="Q370" s="220"/>
      <c r="S370" s="227" t="str">
        <f ca="1"/>
        <v>SYY</v>
      </c>
      <c r="AB370" s="14" t="s">
        <v>1163</v>
      </c>
    </row>
    <row r="371" spans="1:28" ht="30" customHeight="1" x14ac:dyDescent="0.55000000000000004">
      <c r="A371" s="245" t="s">
        <v>1164</v>
      </c>
      <c r="B371" s="246" t="s">
        <v>1165</v>
      </c>
      <c r="C371" s="247">
        <v>6.6665000000000002E-2</v>
      </c>
      <c r="D371" s="248">
        <f t="shared" si="10"/>
        <v>6.6664999999999997E-4</v>
      </c>
      <c r="E371" s="69">
        <f t="shared" ca="1" si="11"/>
        <v>2.6769647637853802E-2</v>
      </c>
      <c r="F371" s="249" t="s">
        <v>37</v>
      </c>
      <c r="G371" s="220"/>
      <c r="H371" s="220"/>
      <c r="I371" s="220"/>
      <c r="J371" s="250" t="str" cm="1">
        <f t="array" aca="1" ref="J371" ca="1">IFERROR(INDEX(_xlfn.ANCHORARRAY($S$12),ROW()-12+1),"")</f>
        <v>EQT</v>
      </c>
      <c r="K371" s="70">
        <f ca="1">IF(Tabla16[[#This Row],[Ticker]]="",0,SUMIF(Tablaholdings[Ticker],Tabla16[[#This Row],[Ticker]],Tablaholdings[Peso Real en Portafolio])/100)</f>
        <v>2.1975083881820286E-4</v>
      </c>
      <c r="L371" s="220"/>
      <c r="M371" s="220"/>
      <c r="N371" s="220"/>
      <c r="O371" s="220"/>
      <c r="P371" s="220"/>
      <c r="Q371" s="220"/>
      <c r="S371" s="227" t="str">
        <f ca="1"/>
        <v>EQT</v>
      </c>
      <c r="AB371" s="14" t="s">
        <v>1166</v>
      </c>
    </row>
    <row r="372" spans="1:28" ht="30" customHeight="1" x14ac:dyDescent="0.55000000000000004">
      <c r="A372" s="245" t="s">
        <v>1167</v>
      </c>
      <c r="B372" s="246" t="s">
        <v>1168</v>
      </c>
      <c r="C372" s="247">
        <v>3.0537000000000002E-2</v>
      </c>
      <c r="D372" s="248">
        <f t="shared" si="10"/>
        <v>3.0537000000000001E-4</v>
      </c>
      <c r="E372" s="69">
        <f t="shared" ca="1" si="11"/>
        <v>1.2262277505694766E-2</v>
      </c>
      <c r="F372" s="249" t="s">
        <v>37</v>
      </c>
      <c r="G372" s="220"/>
      <c r="H372" s="220"/>
      <c r="I372" s="220"/>
      <c r="J372" s="250" t="str" cm="1">
        <f t="array" aca="1" ref="J372" ca="1">IFERROR(INDEX(_xlfn.ANCHORARRAY($S$12),ROW()-12+1),"")</f>
        <v>ODFL</v>
      </c>
      <c r="K372" s="70">
        <f ca="1">IF(Tabla16[[#This Row],[Ticker]]="",0,SUMIF(Tablaholdings[Ticker],Tabla16[[#This Row],[Ticker]],Tablaholdings[Peso Real en Portafolio])/100)</f>
        <v>2.1936133070736932E-4</v>
      </c>
      <c r="L372" s="220"/>
      <c r="M372" s="220"/>
      <c r="N372" s="220"/>
      <c r="O372" s="220"/>
      <c r="P372" s="220"/>
      <c r="Q372" s="220"/>
      <c r="S372" s="227" t="str">
        <f ca="1"/>
        <v>ODFL</v>
      </c>
      <c r="AB372" s="14" t="s">
        <v>1169</v>
      </c>
    </row>
    <row r="373" spans="1:28" ht="30" customHeight="1" x14ac:dyDescent="0.55000000000000004">
      <c r="A373" s="245" t="s">
        <v>1170</v>
      </c>
      <c r="B373" s="246" t="s">
        <v>1171</v>
      </c>
      <c r="C373" s="247">
        <v>9.051E-3</v>
      </c>
      <c r="D373" s="248">
        <f t="shared" si="10"/>
        <v>9.0509999999999999E-5</v>
      </c>
      <c r="E373" s="69">
        <f t="shared" ca="1" si="11"/>
        <v>3.6344720733550552E-3</v>
      </c>
      <c r="F373" s="249" t="s">
        <v>37</v>
      </c>
      <c r="G373" s="220"/>
      <c r="H373" s="220"/>
      <c r="I373" s="220"/>
      <c r="J373" s="250" t="str" cm="1">
        <f t="array" aca="1" ref="J373" ca="1">IFERROR(INDEX(_xlfn.ANCHORARRAY($S$12),ROW()-12+1),"")</f>
        <v>LULU</v>
      </c>
      <c r="K373" s="70">
        <f ca="1">IF(Tabla16[[#This Row],[Ticker]]="",0,SUMIF(Tablaholdings[Ticker],Tabla16[[#This Row],[Ticker]],Tablaholdings[Peso Real en Portafolio])/100)</f>
        <v>2.1670982634959348E-4</v>
      </c>
      <c r="L373" s="220"/>
      <c r="M373" s="220"/>
      <c r="N373" s="220"/>
      <c r="O373" s="220"/>
      <c r="P373" s="220"/>
      <c r="Q373" s="220"/>
      <c r="S373" s="227" t="str">
        <f ca="1"/>
        <v>LULU</v>
      </c>
      <c r="AB373" s="14" t="s">
        <v>1172</v>
      </c>
    </row>
    <row r="374" spans="1:28" ht="30" customHeight="1" x14ac:dyDescent="0.55000000000000004">
      <c r="A374" s="245" t="s">
        <v>1173</v>
      </c>
      <c r="B374" s="246" t="s">
        <v>1174</v>
      </c>
      <c r="C374" s="247">
        <v>1.0966E-2</v>
      </c>
      <c r="D374" s="248">
        <f t="shared" si="10"/>
        <v>1.0966E-4</v>
      </c>
      <c r="E374" s="69">
        <f t="shared" ca="1" si="11"/>
        <v>4.4034494261862263E-3</v>
      </c>
      <c r="F374" s="249" t="s">
        <v>37</v>
      </c>
      <c r="G374" s="220"/>
      <c r="H374" s="220"/>
      <c r="I374" s="220"/>
      <c r="J374" s="250" t="str" cm="1">
        <f t="array" aca="1" ref="J374" ca="1">IFERROR(INDEX(_xlfn.ANCHORARRAY($S$12),ROW()-12+1),"")</f>
        <v>HAL</v>
      </c>
      <c r="K374" s="70">
        <f ca="1">IF(Tabla16[[#This Row],[Ticker]]="",0,SUMIF(Tablaholdings[Ticker],Tabla16[[#This Row],[Ticker]],Tablaholdings[Peso Real en Portafolio])/100)</f>
        <v>2.1568308916588967E-4</v>
      </c>
      <c r="L374" s="220"/>
      <c r="M374" s="220"/>
      <c r="N374" s="220"/>
      <c r="O374" s="220"/>
      <c r="P374" s="220"/>
      <c r="Q374" s="220"/>
      <c r="S374" s="227" t="str">
        <f ca="1"/>
        <v>HAL</v>
      </c>
      <c r="AB374" s="14" t="s">
        <v>1175</v>
      </c>
    </row>
    <row r="375" spans="1:28" ht="30" customHeight="1" x14ac:dyDescent="0.55000000000000004">
      <c r="A375" s="245" t="s">
        <v>1176</v>
      </c>
      <c r="B375" s="246" t="s">
        <v>1177</v>
      </c>
      <c r="C375" s="247">
        <v>2.1564E-2</v>
      </c>
      <c r="D375" s="248">
        <f t="shared" si="10"/>
        <v>2.1563999999999999E-4</v>
      </c>
      <c r="E375" s="69">
        <f t="shared" ca="1" si="11"/>
        <v>8.6591267031077678E-3</v>
      </c>
      <c r="F375" s="249" t="s">
        <v>37</v>
      </c>
      <c r="G375" s="220"/>
      <c r="H375" s="220"/>
      <c r="I375" s="220"/>
      <c r="J375" s="250" t="str" cm="1">
        <f t="array" aca="1" ref="J375" ca="1">IFERROR(INDEX(_xlfn.ANCHORARRAY($S$12),ROW()-12+1),"")</f>
        <v>TYL</v>
      </c>
      <c r="K375" s="70">
        <f ca="1">IF(Tabla16[[#This Row],[Ticker]]="",0,SUMIF(Tablaholdings[Ticker],Tabla16[[#This Row],[Ticker]],Tablaholdings[Peso Real en Portafolio])/100)</f>
        <v>2.1489439154791332E-4</v>
      </c>
      <c r="L375" s="220"/>
      <c r="M375" s="220"/>
      <c r="N375" s="220"/>
      <c r="O375" s="220"/>
      <c r="P375" s="220"/>
      <c r="Q375" s="220"/>
      <c r="S375" s="227" t="str">
        <f ca="1"/>
        <v>TYL</v>
      </c>
      <c r="AB375" s="14" t="s">
        <v>1178</v>
      </c>
    </row>
    <row r="376" spans="1:28" ht="30" customHeight="1" x14ac:dyDescent="0.55000000000000004">
      <c r="A376" s="251" t="s">
        <v>1179</v>
      </c>
      <c r="B376" s="252" t="s">
        <v>1180</v>
      </c>
      <c r="C376" s="140">
        <v>0.72507507339999999</v>
      </c>
      <c r="D376" s="248">
        <f t="shared" si="10"/>
        <v>7.2507507339999999E-3</v>
      </c>
      <c r="E376" s="69">
        <f t="shared" ca="1" si="11"/>
        <v>0.21762146053271117</v>
      </c>
      <c r="F376" s="249" t="s">
        <v>38</v>
      </c>
      <c r="G376" s="220"/>
      <c r="H376" s="220"/>
      <c r="I376" s="220"/>
      <c r="J376" s="253" t="str" cm="1">
        <f t="array" aca="1" ref="J376" ca="1">IFERROR(INDEX(_xlfn.ANCHORARRAY($S$12),ROW()-12+1),"")</f>
        <v>SOFI</v>
      </c>
      <c r="K376" s="70">
        <f ca="1">IF(Tabla16[[#This Row],[Ticker]]="",0,SUMIF(Tablaholdings[Ticker],Tabla16[[#This Row],[Ticker]],Tablaholdings[Peso Real en Portafolio])/100)</f>
        <v>2.1424490675057688E-4</v>
      </c>
      <c r="L376" s="220"/>
      <c r="M376" s="220"/>
      <c r="N376" s="220"/>
      <c r="O376" s="220"/>
      <c r="P376" s="220"/>
      <c r="Q376" s="220"/>
      <c r="S376" s="227" t="str">
        <f ca="1"/>
        <v>SOFI</v>
      </c>
      <c r="AB376" s="14" t="s">
        <v>1181</v>
      </c>
    </row>
    <row r="377" spans="1:28" ht="30" customHeight="1" x14ac:dyDescent="0.55000000000000004">
      <c r="A377" s="245" t="s">
        <v>1179</v>
      </c>
      <c r="B377" s="246" t="s">
        <v>1182</v>
      </c>
      <c r="C377" s="247">
        <v>4.5317999999999997E-2</v>
      </c>
      <c r="D377" s="248">
        <f t="shared" si="10"/>
        <v>4.5317999999999997E-4</v>
      </c>
      <c r="E377" s="69">
        <f t="shared" ca="1" si="11"/>
        <v>1.8197658316241785E-2</v>
      </c>
      <c r="F377" s="249" t="s">
        <v>37</v>
      </c>
      <c r="G377" s="220"/>
      <c r="H377" s="220"/>
      <c r="I377" s="220"/>
      <c r="J377" s="250" t="str" cm="1">
        <f t="array" aca="1" ref="J377" ca="1">IFERROR(INDEX(_xlfn.ANCHORARRAY($S$12),ROW()-12+1),"")</f>
        <v>TKO</v>
      </c>
      <c r="K377" s="70">
        <f ca="1">IF(Tabla16[[#This Row],[Ticker]]="",0,SUMIF(Tablaholdings[Ticker],Tabla16[[#This Row],[Ticker]],Tablaholdings[Peso Real en Portafolio])/100)</f>
        <v>2.1415483887981567E-4</v>
      </c>
      <c r="L377" s="220"/>
      <c r="M377" s="220"/>
      <c r="N377" s="220"/>
      <c r="O377" s="220"/>
      <c r="P377" s="220"/>
      <c r="Q377" s="220"/>
      <c r="S377" s="227" t="str">
        <f ca="1"/>
        <v>TKO</v>
      </c>
      <c r="AB377" s="14" t="s">
        <v>1183</v>
      </c>
    </row>
    <row r="378" spans="1:28" ht="30" customHeight="1" x14ac:dyDescent="0.55000000000000004">
      <c r="A378" s="245" t="s">
        <v>1184</v>
      </c>
      <c r="B378" s="246" t="s">
        <v>1185</v>
      </c>
      <c r="C378" s="247">
        <v>4.0629999999999999E-2</v>
      </c>
      <c r="D378" s="248">
        <f t="shared" si="10"/>
        <v>4.0630000000000001E-4</v>
      </c>
      <c r="E378" s="69">
        <f t="shared" ca="1" si="11"/>
        <v>1.6315169632130803E-2</v>
      </c>
      <c r="F378" s="249" t="s">
        <v>37</v>
      </c>
      <c r="G378" s="220"/>
      <c r="H378" s="220"/>
      <c r="I378" s="220"/>
      <c r="J378" s="253" t="str" cm="1">
        <f t="array" aca="1" ref="J378" ca="1">IFERROR(INDEX(_xlfn.ANCHORARRAY($S$12),ROW()-12+1),"")</f>
        <v>Q</v>
      </c>
      <c r="K378" s="70">
        <f ca="1">IF(Tabla16[[#This Row],[Ticker]]="",0,SUMIF(Tablaholdings[Ticker],Tabla16[[#This Row],[Ticker]],Tablaholdings[Peso Real en Portafolio])/100)</f>
        <v>2.1354681787760668E-4</v>
      </c>
      <c r="L378" s="220"/>
      <c r="M378" s="220"/>
      <c r="N378" s="220"/>
      <c r="O378" s="220"/>
      <c r="P378" s="220"/>
      <c r="Q378" s="220"/>
      <c r="S378" s="227" t="str">
        <f ca="1"/>
        <v>Q</v>
      </c>
      <c r="AB378" s="14" t="s">
        <v>1186</v>
      </c>
    </row>
    <row r="379" spans="1:28" ht="30" customHeight="1" x14ac:dyDescent="0.55000000000000004">
      <c r="A379" s="251" t="s">
        <v>1187</v>
      </c>
      <c r="B379" s="252" t="s">
        <v>1188</v>
      </c>
      <c r="C379" s="140">
        <v>3.4589882600000003E-2</v>
      </c>
      <c r="D379" s="248">
        <f t="shared" si="10"/>
        <v>3.4589882600000003E-4</v>
      </c>
      <c r="E379" s="69">
        <f t="shared" ca="1" si="11"/>
        <v>1.0318466155359508E-2</v>
      </c>
      <c r="F379" s="249" t="s">
        <v>39</v>
      </c>
      <c r="G379" s="220"/>
      <c r="H379" s="220"/>
      <c r="I379" s="220"/>
      <c r="J379" s="250" t="str" cm="1">
        <f t="array" aca="1" ref="J379" ca="1">IFERROR(INDEX(_xlfn.ANCHORARRAY($S$12),ROW()-12+1),"")</f>
        <v>RDDT</v>
      </c>
      <c r="K379" s="70">
        <f ca="1">IF(Tabla16[[#This Row],[Ticker]]="",0,SUMIF(Tablaholdings[Ticker],Tabla16[[#This Row],[Ticker]],Tablaholdings[Peso Real en Portafolio])/100)</f>
        <v>2.1247706440394369E-4</v>
      </c>
      <c r="L379" s="220"/>
      <c r="M379" s="220"/>
      <c r="N379" s="220"/>
      <c r="O379" s="220"/>
      <c r="P379" s="220"/>
      <c r="Q379" s="220"/>
      <c r="S379" s="227" t="str">
        <f ca="1"/>
        <v>RDDT</v>
      </c>
      <c r="AB379" s="14" t="s">
        <v>1189</v>
      </c>
    </row>
    <row r="380" spans="1:28" ht="30" customHeight="1" x14ac:dyDescent="0.55000000000000004">
      <c r="A380" s="251" t="s">
        <v>1190</v>
      </c>
      <c r="B380" s="252" t="s">
        <v>1191</v>
      </c>
      <c r="C380" s="140">
        <v>0.1283652529</v>
      </c>
      <c r="D380" s="248">
        <f t="shared" si="10"/>
        <v>1.283652529E-3</v>
      </c>
      <c r="E380" s="69">
        <f t="shared" ca="1" si="11"/>
        <v>3.8292483755721501E-2</v>
      </c>
      <c r="F380" s="249" t="s">
        <v>39</v>
      </c>
      <c r="G380" s="220"/>
      <c r="H380" s="220"/>
      <c r="I380" s="220"/>
      <c r="J380" s="250" t="str" cm="1">
        <f t="array" aca="1" ref="J380" ca="1">IFERROR(INDEX(_xlfn.ANCHORARRAY($S$12),ROW()-12+1),"")</f>
        <v>ACGL</v>
      </c>
      <c r="K380" s="70">
        <f ca="1">IF(Tabla16[[#This Row],[Ticker]]="",0,SUMIF(Tablaholdings[Ticker],Tabla16[[#This Row],[Ticker]],Tablaholdings[Peso Real en Portafolio])/100)</f>
        <v>2.0995691838188309E-4</v>
      </c>
      <c r="L380" s="220"/>
      <c r="M380" s="220"/>
      <c r="N380" s="220"/>
      <c r="O380" s="220"/>
      <c r="P380" s="220"/>
      <c r="Q380" s="220"/>
      <c r="S380" s="227" t="str">
        <f ca="1"/>
        <v>ACGL</v>
      </c>
      <c r="AB380" s="14" t="s">
        <v>1192</v>
      </c>
    </row>
    <row r="381" spans="1:28" ht="30" customHeight="1" x14ac:dyDescent="0.55000000000000004">
      <c r="A381" s="245" t="s">
        <v>1190</v>
      </c>
      <c r="B381" s="246" t="s">
        <v>1191</v>
      </c>
      <c r="C381" s="247">
        <v>5.7604000000000002E-2</v>
      </c>
      <c r="D381" s="248">
        <f t="shared" si="10"/>
        <v>5.7603999999999999E-4</v>
      </c>
      <c r="E381" s="69">
        <f t="shared" ca="1" si="11"/>
        <v>2.3131160016964379E-2</v>
      </c>
      <c r="F381" s="249" t="s">
        <v>37</v>
      </c>
      <c r="G381" s="220"/>
      <c r="H381" s="220"/>
      <c r="I381" s="220"/>
      <c r="J381" s="253" t="str" cm="1">
        <f t="array" aca="1" ref="J381" ca="1">IFERROR(INDEX(_xlfn.ANCHORARRAY($S$12),ROW()-12+1),"")</f>
        <v>AFRM</v>
      </c>
      <c r="K381" s="70">
        <f ca="1">IF(Tabla16[[#This Row],[Ticker]]="",0,SUMIF(Tablaholdings[Ticker],Tabla16[[#This Row],[Ticker]],Tablaholdings[Peso Real en Portafolio])/100)</f>
        <v>2.0764339549078786E-4</v>
      </c>
      <c r="L381" s="220"/>
      <c r="M381" s="220"/>
      <c r="N381" s="220"/>
      <c r="O381" s="220"/>
      <c r="P381" s="220"/>
      <c r="Q381" s="220"/>
      <c r="S381" s="227" t="str">
        <f ca="1"/>
        <v>AFRM</v>
      </c>
      <c r="AB381" s="14" t="s">
        <v>1193</v>
      </c>
    </row>
    <row r="382" spans="1:28" ht="30" customHeight="1" x14ac:dyDescent="0.55000000000000004">
      <c r="A382" s="245" t="s">
        <v>1194</v>
      </c>
      <c r="B382" s="246" t="s">
        <v>1195</v>
      </c>
      <c r="C382" s="247">
        <v>0.171511</v>
      </c>
      <c r="D382" s="248">
        <f t="shared" si="10"/>
        <v>1.7151099999999999E-3</v>
      </c>
      <c r="E382" s="69">
        <f t="shared" ca="1" si="11"/>
        <v>6.8871057316672063E-2</v>
      </c>
      <c r="F382" s="249" t="s">
        <v>37</v>
      </c>
      <c r="G382" s="220"/>
      <c r="H382" s="220"/>
      <c r="I382" s="220"/>
      <c r="J382" s="250" t="str" cm="1">
        <f t="array" aca="1" ref="J382" ca="1">IFERROR(INDEX(_xlfn.ANCHORARRAY($S$12),ROW()-12+1),"")</f>
        <v>KVUE</v>
      </c>
      <c r="K382" s="70">
        <f ca="1">IF(Tabla16[[#This Row],[Ticker]]="",0,SUMIF(Tablaholdings[Ticker],Tabla16[[#This Row],[Ticker]],Tablaholdings[Peso Real en Portafolio])/100)</f>
        <v>2.0731067255673564E-4</v>
      </c>
      <c r="L382" s="220"/>
      <c r="M382" s="220"/>
      <c r="N382" s="220"/>
      <c r="O382" s="220"/>
      <c r="P382" s="220"/>
      <c r="Q382" s="220"/>
      <c r="S382" s="227" t="str">
        <f ca="1"/>
        <v>KVUE</v>
      </c>
      <c r="AB382" s="14" t="s">
        <v>1196</v>
      </c>
    </row>
    <row r="383" spans="1:28" ht="30" customHeight="1" x14ac:dyDescent="0.55000000000000004">
      <c r="A383" s="251" t="s">
        <v>1197</v>
      </c>
      <c r="B383" s="252" t="s">
        <v>1198</v>
      </c>
      <c r="C383" s="140">
        <v>1.7471974299999998E-2</v>
      </c>
      <c r="D383" s="248">
        <f t="shared" si="10"/>
        <v>1.7471974299999998E-4</v>
      </c>
      <c r="E383" s="69">
        <f t="shared" ca="1" si="11"/>
        <v>5.2439763895433256E-3</v>
      </c>
      <c r="F383" s="249" t="s">
        <v>38</v>
      </c>
      <c r="G383" s="220"/>
      <c r="H383" s="220"/>
      <c r="I383" s="220"/>
      <c r="J383" s="250" t="str" cm="1">
        <f t="array" aca="1" ref="J383" ca="1">IFERROR(INDEX(_xlfn.ANCHORARRAY($S$12),ROW()-12+1),"")</f>
        <v>STLD</v>
      </c>
      <c r="K383" s="70">
        <f ca="1">IF(Tabla16[[#This Row],[Ticker]]="",0,SUMIF(Tablaholdings[Ticker],Tabla16[[#This Row],[Ticker]],Tablaholdings[Peso Real en Portafolio])/100)</f>
        <v>2.0469253556432872E-4</v>
      </c>
      <c r="L383" s="220"/>
      <c r="M383" s="220"/>
      <c r="N383" s="220"/>
      <c r="O383" s="220"/>
      <c r="P383" s="220"/>
      <c r="Q383" s="220"/>
      <c r="S383" s="227" t="str">
        <f ca="1"/>
        <v>STLD</v>
      </c>
      <c r="AB383" s="14" t="s">
        <v>1199</v>
      </c>
    </row>
    <row r="384" spans="1:28" ht="30" customHeight="1" x14ac:dyDescent="0.55000000000000004">
      <c r="A384" s="251" t="s">
        <v>1200</v>
      </c>
      <c r="B384" s="252" t="s">
        <v>1201</v>
      </c>
      <c r="C384" s="140">
        <v>0.13870515859999999</v>
      </c>
      <c r="D384" s="248">
        <f t="shared" si="10"/>
        <v>1.3870515859999999E-3</v>
      </c>
      <c r="E384" s="69">
        <f t="shared" ca="1" si="11"/>
        <v>4.1376968552875995E-2</v>
      </c>
      <c r="F384" s="249" t="s">
        <v>39</v>
      </c>
      <c r="G384" s="220"/>
      <c r="H384" s="220"/>
      <c r="I384" s="220"/>
      <c r="J384" s="253" t="str" cm="1">
        <f t="array" aca="1" ref="J384" ca="1">IFERROR(INDEX(_xlfn.ANCHORARRAY($S$12),ROW()-12+1),"")</f>
        <v>WU</v>
      </c>
      <c r="K384" s="70">
        <f ca="1">IF(Tabla16[[#This Row],[Ticker]]="",0,SUMIF(Tablaholdings[Ticker],Tabla16[[#This Row],[Ticker]],Tablaholdings[Peso Real en Portafolio])/100)</f>
        <v>2.0464675364611397E-4</v>
      </c>
      <c r="L384" s="220"/>
      <c r="M384" s="220"/>
      <c r="N384" s="220"/>
      <c r="O384" s="220"/>
      <c r="P384" s="220"/>
      <c r="Q384" s="220"/>
      <c r="S384" s="227" t="str">
        <f ca="1"/>
        <v>WU</v>
      </c>
      <c r="AB384" s="14" t="s">
        <v>1202</v>
      </c>
    </row>
    <row r="385" spans="1:28" ht="30" customHeight="1" x14ac:dyDescent="0.55000000000000004">
      <c r="A385" s="245" t="s">
        <v>1200</v>
      </c>
      <c r="B385" s="246" t="s">
        <v>1203</v>
      </c>
      <c r="C385" s="247">
        <v>5.9341999999999999E-2</v>
      </c>
      <c r="D385" s="248">
        <f t="shared" si="10"/>
        <v>5.9341999999999999E-4</v>
      </c>
      <c r="E385" s="69">
        <f t="shared" ca="1" si="11"/>
        <v>2.3829062178437263E-2</v>
      </c>
      <c r="F385" s="249" t="s">
        <v>37</v>
      </c>
      <c r="G385" s="220"/>
      <c r="H385" s="220"/>
      <c r="I385" s="220"/>
      <c r="J385" s="253" t="str" cm="1">
        <f t="array" aca="1" ref="J385" ca="1">IFERROR(INDEX(_xlfn.ANCHORARRAY($S$12),ROW()-12+1),"")</f>
        <v>APAM</v>
      </c>
      <c r="K385" s="70">
        <f ca="1">IF(Tabla16[[#This Row],[Ticker]]="",0,SUMIF(Tablaholdings[Ticker],Tabla16[[#This Row],[Ticker]],Tablaholdings[Peso Real en Portafolio])/100)</f>
        <v>2.0221073094291739E-4</v>
      </c>
      <c r="L385" s="220"/>
      <c r="M385" s="220"/>
      <c r="N385" s="220"/>
      <c r="O385" s="220"/>
      <c r="P385" s="220"/>
      <c r="Q385" s="220"/>
      <c r="S385" s="227" t="str">
        <f ca="1"/>
        <v>APAM</v>
      </c>
      <c r="AB385" s="14" t="s">
        <v>1204</v>
      </c>
    </row>
    <row r="386" spans="1:28" ht="30" customHeight="1" x14ac:dyDescent="0.55000000000000004">
      <c r="A386" s="245" t="s">
        <v>1205</v>
      </c>
      <c r="B386" s="246" t="s">
        <v>1206</v>
      </c>
      <c r="C386" s="247">
        <v>0.31412000000000001</v>
      </c>
      <c r="D386" s="248">
        <f t="shared" si="10"/>
        <v>3.1412000000000002E-3</v>
      </c>
      <c r="E386" s="69">
        <f t="shared" ca="1" si="11"/>
        <v>0.12613637914951828</v>
      </c>
      <c r="F386" s="249" t="s">
        <v>37</v>
      </c>
      <c r="G386" s="220"/>
      <c r="H386" s="220"/>
      <c r="I386" s="220"/>
      <c r="J386" s="253" t="str" cm="1">
        <f t="array" aca="1" ref="J386" ca="1">IFERROR(INDEX(_xlfn.ANCHORARRAY($S$12),ROW()-12+1),"")</f>
        <v>FCNCA</v>
      </c>
      <c r="K386" s="70">
        <f ca="1">IF(Tabla16[[#This Row],[Ticker]]="",0,SUMIF(Tablaholdings[Ticker],Tabla16[[#This Row],[Ticker]],Tablaholdings[Peso Real en Portafolio])/100)</f>
        <v>2.0073344755536238E-4</v>
      </c>
      <c r="L386" s="220"/>
      <c r="M386" s="220"/>
      <c r="N386" s="220"/>
      <c r="O386" s="220"/>
      <c r="P386" s="220"/>
      <c r="Q386" s="220"/>
      <c r="S386" s="227" t="str">
        <f ca="1"/>
        <v>FCNCA</v>
      </c>
      <c r="AB386" s="14" t="s">
        <v>1207</v>
      </c>
    </row>
    <row r="387" spans="1:28" ht="30" customHeight="1" x14ac:dyDescent="0.55000000000000004">
      <c r="A387" s="245" t="s">
        <v>1208</v>
      </c>
      <c r="B387" s="246" t="s">
        <v>1209</v>
      </c>
      <c r="C387" s="247">
        <v>0.13761200000000001</v>
      </c>
      <c r="D387" s="248">
        <f t="shared" si="10"/>
        <v>1.3761200000000002E-3</v>
      </c>
      <c r="E387" s="69">
        <f t="shared" ca="1" si="11"/>
        <v>5.5258752729923311E-2</v>
      </c>
      <c r="F387" s="249" t="s">
        <v>37</v>
      </c>
      <c r="G387" s="220"/>
      <c r="H387" s="220"/>
      <c r="I387" s="220"/>
      <c r="J387" s="250" t="str" cm="1">
        <f t="array" aca="1" ref="J387" ca="1">IFERROR(INDEX(_xlfn.ANCHORARRAY($S$12),ROW()-12+1),"")</f>
        <v>A</v>
      </c>
      <c r="K387" s="70">
        <f ca="1">IF(Tabla16[[#This Row],[Ticker]]="",0,SUMIF(Tablaholdings[Ticker],Tabla16[[#This Row],[Ticker]],Tablaholdings[Peso Real en Portafolio])/100)</f>
        <v>2.006930502200998E-4</v>
      </c>
      <c r="L387" s="220"/>
      <c r="M387" s="220"/>
      <c r="N387" s="220"/>
      <c r="O387" s="220"/>
      <c r="P387" s="220"/>
      <c r="Q387" s="220"/>
      <c r="S387" s="227" t="str">
        <f ca="1"/>
        <v>A</v>
      </c>
      <c r="AB387" s="14" t="s">
        <v>1210</v>
      </c>
    </row>
    <row r="388" spans="1:28" ht="30" customHeight="1" x14ac:dyDescent="0.55000000000000004">
      <c r="A388" s="251" t="s">
        <v>1211</v>
      </c>
      <c r="B388" s="252" t="s">
        <v>1212</v>
      </c>
      <c r="C388" s="140">
        <v>0.1492642062</v>
      </c>
      <c r="D388" s="248">
        <f t="shared" si="10"/>
        <v>1.4926420619999999E-3</v>
      </c>
      <c r="E388" s="69">
        <f t="shared" ca="1" si="11"/>
        <v>4.4526825305885906E-2</v>
      </c>
      <c r="F388" s="249" t="s">
        <v>39</v>
      </c>
      <c r="G388" s="220"/>
      <c r="H388" s="220"/>
      <c r="I388" s="220"/>
      <c r="J388" s="253" t="str" cm="1">
        <f t="array" aca="1" ref="J388" ca="1">IFERROR(INDEX(_xlfn.ANCHORARRAY($S$12),ROW()-12+1),"")</f>
        <v>RBC</v>
      </c>
      <c r="K388" s="70">
        <f ca="1">IF(Tabla16[[#This Row],[Ticker]]="",0,SUMIF(Tablaholdings[Ticker],Tabla16[[#This Row],[Ticker]],Tablaholdings[Peso Real en Portafolio])/100)</f>
        <v>1.9985218491001597E-4</v>
      </c>
      <c r="L388" s="220"/>
      <c r="M388" s="220"/>
      <c r="N388" s="220"/>
      <c r="O388" s="220"/>
      <c r="P388" s="220"/>
      <c r="Q388" s="220"/>
      <c r="S388" s="227" t="str">
        <f ca="1"/>
        <v>RBC</v>
      </c>
      <c r="AB388" s="14" t="s">
        <v>1213</v>
      </c>
    </row>
    <row r="389" spans="1:28" ht="30" customHeight="1" x14ac:dyDescent="0.55000000000000004">
      <c r="A389" s="245" t="s">
        <v>1211</v>
      </c>
      <c r="B389" s="246" t="s">
        <v>1212</v>
      </c>
      <c r="C389" s="247">
        <v>6.6141000000000005E-2</v>
      </c>
      <c r="D389" s="248">
        <f t="shared" si="10"/>
        <v>6.6141000000000008E-4</v>
      </c>
      <c r="E389" s="69">
        <f t="shared" ca="1" si="11"/>
        <v>2.6559232947053001E-2</v>
      </c>
      <c r="F389" s="249" t="s">
        <v>37</v>
      </c>
      <c r="G389" s="220"/>
      <c r="H389" s="220"/>
      <c r="I389" s="220"/>
      <c r="J389" s="250" t="str" cm="1">
        <f t="array" aca="1" ref="J389" ca="1">IFERROR(INDEX(_xlfn.ANCHORARRAY($S$12),ROW()-12+1),"")</f>
        <v>-</v>
      </c>
      <c r="K389" s="70">
        <f ca="1">IF(Tabla16[[#This Row],[Ticker]]="",0,SUMIF(Tablaholdings[Ticker],Tabla16[[#This Row],[Ticker]],Tablaholdings[Peso Real en Portafolio])/100)</f>
        <v>1.99468308222118E-4</v>
      </c>
      <c r="L389" s="220"/>
      <c r="M389" s="220"/>
      <c r="N389" s="220"/>
      <c r="O389" s="220"/>
      <c r="P389" s="220"/>
      <c r="Q389" s="220"/>
      <c r="S389" s="227" t="str">
        <f ca="1"/>
        <v>-</v>
      </c>
      <c r="AB389" s="14" t="s">
        <v>1214</v>
      </c>
    </row>
    <row r="390" spans="1:28" ht="30" customHeight="1" x14ac:dyDescent="0.55000000000000004">
      <c r="A390" s="245" t="s">
        <v>1215</v>
      </c>
      <c r="B390" s="246" t="s">
        <v>1216</v>
      </c>
      <c r="C390" s="247">
        <v>2.4798000000000001E-2</v>
      </c>
      <c r="D390" s="248">
        <f t="shared" si="10"/>
        <v>2.4798000000000002E-4</v>
      </c>
      <c r="E390" s="69">
        <f t="shared" ca="1" si="11"/>
        <v>9.9577547757218714E-3</v>
      </c>
      <c r="F390" s="249" t="s">
        <v>37</v>
      </c>
      <c r="G390" s="220"/>
      <c r="H390" s="220"/>
      <c r="I390" s="220"/>
      <c r="J390" s="250" t="str" cm="1">
        <f t="array" aca="1" ref="J390" ca="1">IFERROR(INDEX(_xlfn.ANCHORARRAY($S$12),ROW()-12+1),"")</f>
        <v>ZTS</v>
      </c>
      <c r="K390" s="70">
        <f ca="1">IF(Tabla16[[#This Row],[Ticker]]="",0,SUMIF(Tablaholdings[Ticker],Tabla16[[#This Row],[Ticker]],Tablaholdings[Peso Real en Portafolio])/100)</f>
        <v>1.9719149277013222E-4</v>
      </c>
      <c r="L390" s="220"/>
      <c r="M390" s="220"/>
      <c r="N390" s="220"/>
      <c r="O390" s="220"/>
      <c r="P390" s="220"/>
      <c r="Q390" s="220"/>
      <c r="S390" s="227" t="str">
        <f ca="1"/>
        <v>ZTS</v>
      </c>
      <c r="AB390" s="14" t="s">
        <v>1217</v>
      </c>
    </row>
    <row r="391" spans="1:28" ht="30" customHeight="1" x14ac:dyDescent="0.55000000000000004">
      <c r="A391" s="245" t="s">
        <v>1218</v>
      </c>
      <c r="B391" s="246" t="s">
        <v>1219</v>
      </c>
      <c r="C391" s="247">
        <v>3.1122E-2</v>
      </c>
      <c r="D391" s="248">
        <f t="shared" si="10"/>
        <v>3.1122000000000002E-4</v>
      </c>
      <c r="E391" s="69">
        <f t="shared" ca="1" si="11"/>
        <v>1.2497187036455202E-2</v>
      </c>
      <c r="F391" s="249" t="s">
        <v>37</v>
      </c>
      <c r="G391" s="220"/>
      <c r="H391" s="220"/>
      <c r="I391" s="220"/>
      <c r="J391" s="250" t="str" cm="1">
        <f t="array" aca="1" ref="J391" ca="1">IFERROR(INDEX(_xlfn.ANCHORARRAY($S$12),ROW()-12+1),"")</f>
        <v>HBAN</v>
      </c>
      <c r="K391" s="70">
        <f ca="1">IF(Tabla16[[#This Row],[Ticker]]="",0,SUMIF(Tablaholdings[Ticker],Tabla16[[#This Row],[Ticker]],Tablaholdings[Peso Real en Portafolio])/100)</f>
        <v>1.9619162143407501E-4</v>
      </c>
      <c r="L391" s="220"/>
      <c r="M391" s="220"/>
      <c r="N391" s="220"/>
      <c r="O391" s="220"/>
      <c r="P391" s="220"/>
      <c r="Q391" s="220"/>
      <c r="S391" s="227" t="str">
        <f ca="1"/>
        <v>HBAN</v>
      </c>
      <c r="AB391" s="14" t="s">
        <v>1220</v>
      </c>
    </row>
    <row r="392" spans="1:28" ht="30" customHeight="1" x14ac:dyDescent="0.55000000000000004">
      <c r="A392" s="245" t="s">
        <v>1221</v>
      </c>
      <c r="B392" s="246" t="s">
        <v>1222</v>
      </c>
      <c r="C392" s="247">
        <v>2.5742000000000001E-2</v>
      </c>
      <c r="D392" s="248">
        <f t="shared" si="10"/>
        <v>2.5742000000000001E-4</v>
      </c>
      <c r="E392" s="69">
        <f t="shared" ca="1" si="11"/>
        <v>1.0336822462966062E-2</v>
      </c>
      <c r="F392" s="249" t="s">
        <v>37</v>
      </c>
      <c r="G392" s="220"/>
      <c r="H392" s="220"/>
      <c r="I392" s="220"/>
      <c r="J392" s="250" t="str" cm="1">
        <f t="array" aca="1" ref="J392" ca="1">IFERROR(INDEX(_xlfn.ANCHORARRAY($S$12),ROW()-12+1),"")</f>
        <v>MTB</v>
      </c>
      <c r="K392" s="70">
        <f ca="1">IF(Tabla16[[#This Row],[Ticker]]="",0,SUMIF(Tablaholdings[Ticker],Tabla16[[#This Row],[Ticker]],Tablaholdings[Peso Real en Portafolio])/100)</f>
        <v>1.9468177556115321E-4</v>
      </c>
      <c r="L392" s="220"/>
      <c r="M392" s="220"/>
      <c r="N392" s="220"/>
      <c r="O392" s="220"/>
      <c r="P392" s="220"/>
      <c r="Q392" s="220"/>
      <c r="S392" s="227" t="str">
        <f ca="1"/>
        <v>MTB</v>
      </c>
      <c r="AB392" s="14" t="s">
        <v>1223</v>
      </c>
    </row>
    <row r="393" spans="1:28" ht="30" customHeight="1" x14ac:dyDescent="0.55000000000000004">
      <c r="A393" s="251" t="s">
        <v>1224</v>
      </c>
      <c r="B393" s="252" t="s">
        <v>1225</v>
      </c>
      <c r="C393" s="140">
        <v>8.7187001599999994E-2</v>
      </c>
      <c r="D393" s="248">
        <f t="shared" si="10"/>
        <v>8.7187001599999989E-4</v>
      </c>
      <c r="E393" s="69">
        <f t="shared" ca="1" si="11"/>
        <v>2.6008649280494379E-2</v>
      </c>
      <c r="F393" s="249" t="s">
        <v>39</v>
      </c>
      <c r="G393" s="220"/>
      <c r="H393" s="220"/>
      <c r="I393" s="220"/>
      <c r="J393" s="250" t="str" cm="1">
        <f t="array" aca="1" ref="J393" ca="1">IFERROR(INDEX(_xlfn.ANCHORARRAY($S$12),ROW()-12+1),"")</f>
        <v>GDDY</v>
      </c>
      <c r="K393" s="70">
        <f ca="1">IF(Tabla16[[#This Row],[Ticker]]="",0,SUMIF(Tablaholdings[Ticker],Tabla16[[#This Row],[Ticker]],Tablaholdings[Peso Real en Portafolio])/100)</f>
        <v>1.9468110691581874E-4</v>
      </c>
      <c r="L393" s="220"/>
      <c r="M393" s="220"/>
      <c r="N393" s="220"/>
      <c r="O393" s="220"/>
      <c r="P393" s="220"/>
      <c r="Q393" s="220"/>
      <c r="S393" s="227" t="str">
        <f ca="1"/>
        <v>GDDY</v>
      </c>
      <c r="AB393" s="14" t="s">
        <v>1226</v>
      </c>
    </row>
    <row r="394" spans="1:28" ht="30" customHeight="1" x14ac:dyDescent="0.55000000000000004">
      <c r="A394" s="245" t="s">
        <v>1227</v>
      </c>
      <c r="B394" s="246" t="s">
        <v>1228</v>
      </c>
      <c r="C394" s="247">
        <v>0.88451199999999996</v>
      </c>
      <c r="D394" s="248">
        <f t="shared" si="10"/>
        <v>8.8451199999999997E-3</v>
      </c>
      <c r="E394" s="69">
        <f t="shared" ca="1" si="11"/>
        <v>0.35517999807175188</v>
      </c>
      <c r="F394" s="249" t="s">
        <v>37</v>
      </c>
      <c r="G394" s="220"/>
      <c r="H394" s="220"/>
      <c r="I394" s="220"/>
      <c r="J394" s="250" t="str" cm="1">
        <f t="array" aca="1" ref="J394" ca="1">IFERROR(INDEX(_xlfn.ANCHORARRAY($S$12),ROW()-12+1),"")</f>
        <v>UAL</v>
      </c>
      <c r="K394" s="70">
        <f ca="1">IF(Tabla16[[#This Row],[Ticker]]="",0,SUMIF(Tablaholdings[Ticker],Tabla16[[#This Row],[Ticker]],Tablaholdings[Peso Real en Portafolio])/100)</f>
        <v>1.9434848511580081E-4</v>
      </c>
      <c r="L394" s="220"/>
      <c r="M394" s="220"/>
      <c r="N394" s="220"/>
      <c r="O394" s="220"/>
      <c r="P394" s="220"/>
      <c r="Q394" s="220"/>
      <c r="S394" s="227" t="str">
        <f ca="1"/>
        <v>UAL</v>
      </c>
      <c r="AB394" s="14" t="s">
        <v>1229</v>
      </c>
    </row>
    <row r="395" spans="1:28" ht="30" customHeight="1" x14ac:dyDescent="0.55000000000000004">
      <c r="A395" s="251" t="s">
        <v>1230</v>
      </c>
      <c r="B395" s="252" t="s">
        <v>1231</v>
      </c>
      <c r="C395" s="140">
        <v>0.37233955320000001</v>
      </c>
      <c r="D395" s="248">
        <f t="shared" si="10"/>
        <v>3.723395532E-3</v>
      </c>
      <c r="E395" s="69">
        <f t="shared" ca="1" si="11"/>
        <v>0.11107216299126382</v>
      </c>
      <c r="F395" s="249" t="s">
        <v>39</v>
      </c>
      <c r="G395" s="220"/>
      <c r="H395" s="220"/>
      <c r="I395" s="220"/>
      <c r="J395" s="250" t="str" cm="1">
        <f t="array" aca="1" ref="J395" ca="1">IFERROR(INDEX(_xlfn.ANCHORARRAY($S$12),ROW()-12+1),"")</f>
        <v>CVBF</v>
      </c>
      <c r="K395" s="70">
        <f ca="1">IF(Tabla16[[#This Row],[Ticker]]="",0,SUMIF(Tablaholdings[Ticker],Tabla16[[#This Row],[Ticker]],Tablaholdings[Peso Real en Portafolio])/100)</f>
        <v>1.9399562886318839E-4</v>
      </c>
      <c r="L395" s="220"/>
      <c r="M395" s="220"/>
      <c r="N395" s="220"/>
      <c r="O395" s="220"/>
      <c r="P395" s="220"/>
      <c r="Q395" s="220"/>
      <c r="S395" s="227" t="str">
        <f ca="1"/>
        <v>CVBF</v>
      </c>
      <c r="AB395" s="14" t="s">
        <v>1232</v>
      </c>
    </row>
    <row r="396" spans="1:28" ht="30" customHeight="1" x14ac:dyDescent="0.55000000000000004">
      <c r="A396" s="245" t="s">
        <v>1230</v>
      </c>
      <c r="B396" s="246" t="s">
        <v>1231</v>
      </c>
      <c r="C396" s="247">
        <v>0.162023</v>
      </c>
      <c r="D396" s="248">
        <f t="shared" ref="D396:D459" si="12">C396/100</f>
        <v>1.6202300000000001E-3</v>
      </c>
      <c r="E396" s="69">
        <f t="shared" ref="E396:E459" ca="1" si="13">C396 * VLOOKUP(F396, $A$6:$B$8, 2, FALSE)</f>
        <v>6.5061105816065196E-2</v>
      </c>
      <c r="F396" s="249" t="s">
        <v>37</v>
      </c>
      <c r="G396" s="220"/>
      <c r="H396" s="220"/>
      <c r="I396" s="220"/>
      <c r="J396" s="253" t="str" cm="1">
        <f t="array" aca="1" ref="J396" ca="1">IFERROR(INDEX(_xlfn.ANCHORARRAY($S$12),ROW()-12+1),"")</f>
        <v>VICI</v>
      </c>
      <c r="K396" s="70">
        <f ca="1">IF(Tabla16[[#This Row],[Ticker]]="",0,SUMIF(Tablaholdings[Ticker],Tabla16[[#This Row],[Ticker]],Tablaholdings[Peso Real en Portafolio])/100)</f>
        <v>1.9393488371976107E-4</v>
      </c>
      <c r="L396" s="220"/>
      <c r="M396" s="220"/>
      <c r="N396" s="220"/>
      <c r="O396" s="220"/>
      <c r="P396" s="220"/>
      <c r="Q396" s="220"/>
      <c r="S396" s="227" t="str">
        <f ca="1"/>
        <v>VICI</v>
      </c>
      <c r="AB396" s="14" t="s">
        <v>1233</v>
      </c>
    </row>
    <row r="397" spans="1:28" ht="30" customHeight="1" x14ac:dyDescent="0.55000000000000004">
      <c r="A397" s="245" t="s">
        <v>1234</v>
      </c>
      <c r="B397" s="246" t="s">
        <v>1235</v>
      </c>
      <c r="C397" s="247">
        <v>2.5179E-2</v>
      </c>
      <c r="D397" s="248">
        <f t="shared" si="12"/>
        <v>2.5179E-4</v>
      </c>
      <c r="E397" s="69">
        <f t="shared" ca="1" si="13"/>
        <v>1.0110747136781232E-2</v>
      </c>
      <c r="F397" s="249" t="s">
        <v>37</v>
      </c>
      <c r="G397" s="220"/>
      <c r="H397" s="220"/>
      <c r="I397" s="220"/>
      <c r="J397" s="250" t="str" cm="1">
        <f t="array" aca="1" ref="J397" ca="1">IFERROR(INDEX(_xlfn.ANCHORARRAY($S$12),ROW()-12+1),"")</f>
        <v>NTRS</v>
      </c>
      <c r="K397" s="70">
        <f ca="1">IF(Tabla16[[#This Row],[Ticker]]="",0,SUMIF(Tablaholdings[Ticker],Tabla16[[#This Row],[Ticker]],Tablaholdings[Peso Real en Portafolio])/100)</f>
        <v>1.9111998489817019E-4</v>
      </c>
      <c r="L397" s="220"/>
      <c r="M397" s="220"/>
      <c r="N397" s="220"/>
      <c r="O397" s="220"/>
      <c r="P397" s="220"/>
      <c r="Q397" s="220"/>
      <c r="S397" s="227" t="str">
        <f ca="1"/>
        <v>NTRS</v>
      </c>
      <c r="AB397" s="14" t="s">
        <v>1236</v>
      </c>
    </row>
    <row r="398" spans="1:28" ht="30" customHeight="1" x14ac:dyDescent="0.55000000000000004">
      <c r="A398" s="245" t="s">
        <v>1237</v>
      </c>
      <c r="B398" s="246" t="s">
        <v>1238</v>
      </c>
      <c r="C398" s="247">
        <v>2.6415000000000001E-2</v>
      </c>
      <c r="D398" s="248">
        <f t="shared" si="12"/>
        <v>2.6415E-4</v>
      </c>
      <c r="E398" s="69">
        <f t="shared" ca="1" si="13"/>
        <v>1.0607068812028924E-2</v>
      </c>
      <c r="F398" s="249" t="s">
        <v>37</v>
      </c>
      <c r="G398" s="220"/>
      <c r="H398" s="220"/>
      <c r="I398" s="220"/>
      <c r="J398" s="250" t="str" cm="1">
        <f t="array" aca="1" ref="J398" ca="1">IFERROR(INDEX(_xlfn.ANCHORARRAY($S$12),ROW()-12+1),"")</f>
        <v>EXR</v>
      </c>
      <c r="K398" s="70">
        <f ca="1">IF(Tabla16[[#This Row],[Ticker]]="",0,SUMIF(Tablaholdings[Ticker],Tabla16[[#This Row],[Ticker]],Tablaholdings[Peso Real en Portafolio])/100)</f>
        <v>1.9047749729267157E-4</v>
      </c>
      <c r="L398" s="220"/>
      <c r="M398" s="220"/>
      <c r="N398" s="220"/>
      <c r="O398" s="220"/>
      <c r="P398" s="220"/>
      <c r="Q398" s="220"/>
      <c r="S398" s="227" t="str">
        <f ca="1"/>
        <v>EXR</v>
      </c>
      <c r="AB398" s="14" t="s">
        <v>1239</v>
      </c>
    </row>
    <row r="399" spans="1:28" ht="30" customHeight="1" x14ac:dyDescent="0.55000000000000004">
      <c r="A399" s="251" t="s">
        <v>1240</v>
      </c>
      <c r="B399" s="252" t="s">
        <v>1241</v>
      </c>
      <c r="C399" s="140">
        <v>4.1050423400000001E-2</v>
      </c>
      <c r="D399" s="248">
        <f t="shared" si="12"/>
        <v>4.10504234E-4</v>
      </c>
      <c r="E399" s="69">
        <f t="shared" ca="1" si="13"/>
        <v>1.2320728464576375E-2</v>
      </c>
      <c r="F399" s="249" t="s">
        <v>38</v>
      </c>
      <c r="G399" s="220"/>
      <c r="H399" s="220"/>
      <c r="I399" s="220"/>
      <c r="J399" s="250" t="str" cm="1">
        <f t="array" aca="1" ref="J399" ca="1">IFERROR(INDEX(_xlfn.ANCHORARRAY($S$12),ROW()-12+1),"")</f>
        <v>AEE</v>
      </c>
      <c r="K399" s="70">
        <f ca="1">IF(Tabla16[[#This Row],[Ticker]]="",0,SUMIF(Tablaholdings[Ticker],Tabla16[[#This Row],[Ticker]],Tablaholdings[Peso Real en Portafolio])/100)</f>
        <v>1.8948164150414871E-4</v>
      </c>
      <c r="L399" s="220"/>
      <c r="M399" s="220"/>
      <c r="N399" s="220"/>
      <c r="O399" s="220"/>
      <c r="P399" s="220"/>
      <c r="Q399" s="220"/>
      <c r="S399" s="227" t="str">
        <f ca="1"/>
        <v>AEE</v>
      </c>
      <c r="AB399" s="14" t="s">
        <v>1242</v>
      </c>
    </row>
    <row r="400" spans="1:28" ht="30" customHeight="1" x14ac:dyDescent="0.55000000000000004">
      <c r="A400" s="251" t="s">
        <v>1243</v>
      </c>
      <c r="B400" s="252" t="s">
        <v>1244</v>
      </c>
      <c r="C400" s="140">
        <v>0.1021960242</v>
      </c>
      <c r="D400" s="248">
        <f t="shared" si="12"/>
        <v>1.021960242E-3</v>
      </c>
      <c r="E400" s="69">
        <f t="shared" ca="1" si="13"/>
        <v>3.0485972708100519E-2</v>
      </c>
      <c r="F400" s="249" t="s">
        <v>39</v>
      </c>
      <c r="G400" s="220"/>
      <c r="H400" s="220"/>
      <c r="I400" s="220"/>
      <c r="J400" s="250" t="str" cm="1">
        <f t="array" aca="1" ref="J400" ca="1">IFERROR(INDEX(_xlfn.ANCHORARRAY($S$12),ROW()-12+1),"")</f>
        <v>RHI</v>
      </c>
      <c r="K400" s="70">
        <f ca="1">IF(Tabla16[[#This Row],[Ticker]]="",0,SUMIF(Tablaholdings[Ticker],Tabla16[[#This Row],[Ticker]],Tablaholdings[Peso Real en Portafolio])/100)</f>
        <v>1.8883073011517404E-4</v>
      </c>
      <c r="L400" s="220"/>
      <c r="M400" s="220"/>
      <c r="N400" s="220"/>
      <c r="O400" s="220"/>
      <c r="P400" s="220"/>
      <c r="Q400" s="220"/>
      <c r="S400" s="227" t="str">
        <f ca="1"/>
        <v>RHI</v>
      </c>
      <c r="AB400" s="14" t="s">
        <v>1245</v>
      </c>
    </row>
    <row r="401" spans="1:28" ht="30" customHeight="1" x14ac:dyDescent="0.55000000000000004">
      <c r="A401" s="245" t="s">
        <v>1243</v>
      </c>
      <c r="B401" s="246" t="s">
        <v>1244</v>
      </c>
      <c r="C401" s="247">
        <v>4.5886000000000003E-2</v>
      </c>
      <c r="D401" s="248">
        <f t="shared" si="12"/>
        <v>4.5886000000000001E-4</v>
      </c>
      <c r="E401" s="69">
        <f t="shared" ca="1" si="13"/>
        <v>1.8425741416193797E-2</v>
      </c>
      <c r="F401" s="249" t="s">
        <v>37</v>
      </c>
      <c r="G401" s="220"/>
      <c r="H401" s="220"/>
      <c r="I401" s="220"/>
      <c r="J401" s="250" t="str" cm="1">
        <f t="array" aca="1" ref="J401" ca="1">IFERROR(INDEX(_xlfn.ANCHORARRAY($S$12),ROW()-12+1),"")</f>
        <v>BIIB</v>
      </c>
      <c r="K401" s="70">
        <f ca="1">IF(Tabla16[[#This Row],[Ticker]]="",0,SUMIF(Tablaholdings[Ticker],Tabla16[[#This Row],[Ticker]],Tablaholdings[Peso Real en Portafolio])/100)</f>
        <v>1.8845767688288527E-4</v>
      </c>
      <c r="L401" s="220"/>
      <c r="M401" s="220"/>
      <c r="N401" s="220"/>
      <c r="O401" s="220"/>
      <c r="P401" s="220"/>
      <c r="Q401" s="220"/>
      <c r="S401" s="227" t="str">
        <f ca="1"/>
        <v>BIIB</v>
      </c>
      <c r="AB401" s="14" t="s">
        <v>1246</v>
      </c>
    </row>
    <row r="402" spans="1:28" ht="30" customHeight="1" x14ac:dyDescent="0.55000000000000004">
      <c r="A402" s="245" t="s">
        <v>1247</v>
      </c>
      <c r="B402" s="246" t="s">
        <v>1248</v>
      </c>
      <c r="C402" s="247">
        <v>3.9676999999999997E-2</v>
      </c>
      <c r="D402" s="248">
        <f t="shared" si="12"/>
        <v>3.9676999999999996E-4</v>
      </c>
      <c r="E402" s="69">
        <f t="shared" ca="1" si="13"/>
        <v>1.5932487952105681E-2</v>
      </c>
      <c r="F402" s="249" t="s">
        <v>37</v>
      </c>
      <c r="G402" s="220"/>
      <c r="H402" s="220"/>
      <c r="I402" s="220"/>
      <c r="J402" s="253" t="str" cm="1">
        <f t="array" aca="1" ref="J402" ca="1">IFERROR(INDEX(_xlfn.ANCHORARRAY($S$12),ROW()-12+1),"")</f>
        <v>ATO</v>
      </c>
      <c r="K402" s="70">
        <f ca="1">IF(Tabla16[[#This Row],[Ticker]]="",0,SUMIF(Tablaholdings[Ticker],Tabla16[[#This Row],[Ticker]],Tablaholdings[Peso Real en Portafolio])/100)</f>
        <v>1.870923907212007E-4</v>
      </c>
      <c r="L402" s="220"/>
      <c r="M402" s="220"/>
      <c r="N402" s="220"/>
      <c r="O402" s="220"/>
      <c r="P402" s="220"/>
      <c r="Q402" s="220"/>
      <c r="S402" s="227" t="str">
        <f ca="1"/>
        <v>ATO</v>
      </c>
      <c r="AB402" s="14" t="s">
        <v>1249</v>
      </c>
    </row>
    <row r="403" spans="1:28" ht="30" customHeight="1" x14ac:dyDescent="0.55000000000000004">
      <c r="A403" s="245" t="s">
        <v>1250</v>
      </c>
      <c r="B403" s="246" t="s">
        <v>1251</v>
      </c>
      <c r="C403" s="247">
        <v>5.8300999999999999E-2</v>
      </c>
      <c r="D403" s="248">
        <f t="shared" si="12"/>
        <v>5.8301000000000002E-4</v>
      </c>
      <c r="E403" s="69">
        <f t="shared" ca="1" si="13"/>
        <v>2.3411043680109718E-2</v>
      </c>
      <c r="F403" s="249" t="s">
        <v>37</v>
      </c>
      <c r="G403" s="220"/>
      <c r="H403" s="220"/>
      <c r="I403" s="220"/>
      <c r="J403" s="250" t="str" cm="1">
        <f t="array" aca="1" ref="J403" ca="1">IFERROR(INDEX(_xlfn.ANCHORARRAY($S$12),ROW()-12+1),"")</f>
        <v>DTE</v>
      </c>
      <c r="K403" s="70">
        <f ca="1">IF(Tabla16[[#This Row],[Ticker]]="",0,SUMIF(Tablaholdings[Ticker],Tabla16[[#This Row],[Ticker]],Tablaholdings[Peso Real en Portafolio])/100)</f>
        <v>1.8512878797689549E-4</v>
      </c>
      <c r="L403" s="220"/>
      <c r="M403" s="220"/>
      <c r="N403" s="220"/>
      <c r="O403" s="220"/>
      <c r="P403" s="220"/>
      <c r="Q403" s="220"/>
      <c r="S403" s="227" t="str">
        <f ca="1"/>
        <v>DTE</v>
      </c>
      <c r="AB403" s="14" t="s">
        <v>1252</v>
      </c>
    </row>
    <row r="404" spans="1:28" ht="30" customHeight="1" x14ac:dyDescent="0.55000000000000004">
      <c r="A404" s="251" t="s">
        <v>1253</v>
      </c>
      <c r="B404" s="252" t="s">
        <v>1254</v>
      </c>
      <c r="C404" s="140">
        <v>0.53826242000000002</v>
      </c>
      <c r="D404" s="248">
        <f t="shared" si="12"/>
        <v>5.3826242E-3</v>
      </c>
      <c r="E404" s="69">
        <f t="shared" ca="1" si="13"/>
        <v>0.1605684132467077</v>
      </c>
      <c r="F404" s="249" t="s">
        <v>39</v>
      </c>
      <c r="G404" s="220"/>
      <c r="H404" s="220"/>
      <c r="I404" s="220"/>
      <c r="J404" s="250" t="str" cm="1">
        <f t="array" aca="1" ref="J404" ca="1">IFERROR(INDEX(_xlfn.ANCHORARRAY($S$12),ROW()-12+1),"")</f>
        <v>CPRT</v>
      </c>
      <c r="K404" s="70">
        <f ca="1">IF(Tabla16[[#This Row],[Ticker]]="",0,SUMIF(Tablaholdings[Ticker],Tabla16[[#This Row],[Ticker]],Tablaholdings[Peso Real en Portafolio])/100)</f>
        <v>1.8458668905975604E-4</v>
      </c>
      <c r="L404" s="220"/>
      <c r="M404" s="220"/>
      <c r="N404" s="220"/>
      <c r="O404" s="220"/>
      <c r="P404" s="220"/>
      <c r="Q404" s="220"/>
      <c r="S404" s="227" t="str">
        <f ca="1"/>
        <v>CPRT</v>
      </c>
      <c r="AB404" s="14" t="s">
        <v>1255</v>
      </c>
    </row>
    <row r="405" spans="1:28" ht="30" customHeight="1" x14ac:dyDescent="0.55000000000000004">
      <c r="A405" s="245" t="s">
        <v>1253</v>
      </c>
      <c r="B405" s="246" t="s">
        <v>1254</v>
      </c>
      <c r="C405" s="247">
        <v>0.24030299999999999</v>
      </c>
      <c r="D405" s="248">
        <f t="shared" si="12"/>
        <v>2.40303E-3</v>
      </c>
      <c r="E405" s="69">
        <f t="shared" ca="1" si="13"/>
        <v>9.6494811915085604E-2</v>
      </c>
      <c r="F405" s="249" t="s">
        <v>37</v>
      </c>
      <c r="G405" s="220"/>
      <c r="H405" s="220"/>
      <c r="I405" s="220"/>
      <c r="J405" s="250" t="str" cm="1">
        <f t="array" aca="1" ref="J405" ca="1">IFERROR(INDEX(_xlfn.ANCHORARRAY($S$12),ROW()-12+1),"")</f>
        <v>DOV</v>
      </c>
      <c r="K405" s="70">
        <f ca="1">IF(Tabla16[[#This Row],[Ticker]]="",0,SUMIF(Tablaholdings[Ticker],Tabla16[[#This Row],[Ticker]],Tablaholdings[Peso Real en Portafolio])/100)</f>
        <v>1.8212917396872376E-4</v>
      </c>
      <c r="L405" s="220"/>
      <c r="M405" s="220"/>
      <c r="N405" s="220"/>
      <c r="O405" s="220"/>
      <c r="P405" s="220"/>
      <c r="Q405" s="220"/>
      <c r="S405" s="227" t="str">
        <f ca="1"/>
        <v>DOV</v>
      </c>
      <c r="AB405" s="14" t="s">
        <v>1256</v>
      </c>
    </row>
    <row r="406" spans="1:28" ht="30" customHeight="1" x14ac:dyDescent="0.55000000000000004">
      <c r="A406" s="245" t="s">
        <v>1257</v>
      </c>
      <c r="B406" s="246" t="s">
        <v>1258</v>
      </c>
      <c r="C406" s="247">
        <v>1.5979E-2</v>
      </c>
      <c r="D406" s="248">
        <f t="shared" si="12"/>
        <v>1.5979000000000001E-4</v>
      </c>
      <c r="E406" s="69">
        <f t="shared" ca="1" si="13"/>
        <v>6.4164434051641175E-3</v>
      </c>
      <c r="F406" s="249" t="s">
        <v>37</v>
      </c>
      <c r="G406" s="220"/>
      <c r="H406" s="220"/>
      <c r="I406" s="220"/>
      <c r="J406" s="250" t="str" cm="1">
        <f t="array" aca="1" ref="J406" ca="1">IFERROR(INDEX(_xlfn.ANCHORARRAY($S$12),ROW()-12+1),"")</f>
        <v>MZTI</v>
      </c>
      <c r="K406" s="70">
        <f ca="1">IF(Tabla16[[#This Row],[Ticker]]="",0,SUMIF(Tablaholdings[Ticker],Tabla16[[#This Row],[Ticker]],Tablaholdings[Peso Real en Portafolio])/100)</f>
        <v>1.7963959779713037E-4</v>
      </c>
      <c r="L406" s="220"/>
      <c r="M406" s="220"/>
      <c r="N406" s="220"/>
      <c r="O406" s="220"/>
      <c r="P406" s="220"/>
      <c r="Q406" s="220"/>
      <c r="S406" s="227" t="str">
        <f ca="1"/>
        <v>MZTI</v>
      </c>
      <c r="AB406" s="14" t="s">
        <v>1259</v>
      </c>
    </row>
    <row r="407" spans="1:28" ht="30" customHeight="1" x14ac:dyDescent="0.55000000000000004">
      <c r="A407" s="245" t="s">
        <v>1260</v>
      </c>
      <c r="B407" s="246" t="s">
        <v>1261</v>
      </c>
      <c r="C407" s="247">
        <v>0.102632</v>
      </c>
      <c r="D407" s="248">
        <f t="shared" si="12"/>
        <v>1.0263200000000001E-3</v>
      </c>
      <c r="E407" s="69">
        <f t="shared" ca="1" si="13"/>
        <v>4.1212367454709541E-2</v>
      </c>
      <c r="F407" s="249" t="s">
        <v>37</v>
      </c>
      <c r="G407" s="220"/>
      <c r="H407" s="220"/>
      <c r="I407" s="220"/>
      <c r="J407" s="253" t="str" cm="1">
        <f t="array" aca="1" ref="J407" ca="1">IFERROR(INDEX(_xlfn.ANCHORARRAY($S$12),ROW()-12+1),"")</f>
        <v>OTIS</v>
      </c>
      <c r="K407" s="70">
        <f ca="1">IF(Tabla16[[#This Row],[Ticker]]="",0,SUMIF(Tablaholdings[Ticker],Tabla16[[#This Row],[Ticker]],Tablaholdings[Peso Real en Portafolio])/100)</f>
        <v>1.7909743558027714E-4</v>
      </c>
      <c r="L407" s="220"/>
      <c r="M407" s="220"/>
      <c r="N407" s="220"/>
      <c r="O407" s="220"/>
      <c r="P407" s="220"/>
      <c r="Q407" s="220"/>
      <c r="S407" s="227" t="str">
        <f ca="1"/>
        <v>OTIS</v>
      </c>
      <c r="AB407" s="14" t="s">
        <v>1262</v>
      </c>
    </row>
    <row r="408" spans="1:28" ht="30" customHeight="1" x14ac:dyDescent="0.55000000000000004">
      <c r="A408" s="245" t="s">
        <v>1263</v>
      </c>
      <c r="B408" s="246" t="s">
        <v>1264</v>
      </c>
      <c r="C408" s="247">
        <v>1.9613999999999999E-2</v>
      </c>
      <c r="D408" s="248">
        <f t="shared" si="12"/>
        <v>1.9614E-4</v>
      </c>
      <c r="E408" s="69">
        <f t="shared" ca="1" si="13"/>
        <v>7.8760949339063135E-3</v>
      </c>
      <c r="F408" s="249" t="s">
        <v>37</v>
      </c>
      <c r="G408" s="220"/>
      <c r="H408" s="220"/>
      <c r="I408" s="220"/>
      <c r="J408" s="250" t="str" cm="1">
        <f t="array" aca="1" ref="J408" ca="1">IFERROR(INDEX(_xlfn.ANCHORARRAY($S$12),ROW()-12+1),"")</f>
        <v>FISV</v>
      </c>
      <c r="K408" s="70">
        <f ca="1">IF(Tabla16[[#This Row],[Ticker]]="",0,SUMIF(Tablaholdings[Ticker],Tabla16[[#This Row],[Ticker]],Tablaholdings[Peso Real en Portafolio])/100)</f>
        <v>1.773506724028277E-4</v>
      </c>
      <c r="L408" s="220"/>
      <c r="M408" s="220"/>
      <c r="N408" s="220"/>
      <c r="O408" s="220"/>
      <c r="P408" s="220"/>
      <c r="Q408" s="220"/>
      <c r="S408" s="227" t="str">
        <f ca="1"/>
        <v>FISV</v>
      </c>
      <c r="AB408" s="14" t="s">
        <v>1265</v>
      </c>
    </row>
    <row r="409" spans="1:28" ht="30" customHeight="1" x14ac:dyDescent="0.55000000000000004">
      <c r="A409" s="245" t="s">
        <v>1266</v>
      </c>
      <c r="B409" s="246" t="s">
        <v>1267</v>
      </c>
      <c r="C409" s="247">
        <v>1.9698E-2</v>
      </c>
      <c r="D409" s="248">
        <f t="shared" si="12"/>
        <v>1.9698E-4</v>
      </c>
      <c r="E409" s="69">
        <f t="shared" ca="1" si="13"/>
        <v>7.9098255331949922E-3</v>
      </c>
      <c r="F409" s="249" t="s">
        <v>37</v>
      </c>
      <c r="G409" s="220"/>
      <c r="H409" s="220"/>
      <c r="I409" s="220"/>
      <c r="J409" s="250" t="str" cm="1">
        <f t="array" aca="1" ref="J409" ca="1">IFERROR(INDEX(_xlfn.ANCHORARRAY($S$12),ROW()-12+1),"")</f>
        <v>GEHC</v>
      </c>
      <c r="K409" s="70">
        <f ca="1">IF(Tabla16[[#This Row],[Ticker]]="",0,SUMIF(Tablaholdings[Ticker],Tabla16[[#This Row],[Ticker]],Tablaholdings[Peso Real en Portafolio])/100)</f>
        <v>1.7726233035707167E-4</v>
      </c>
      <c r="L409" s="220"/>
      <c r="M409" s="220"/>
      <c r="N409" s="220"/>
      <c r="O409" s="220"/>
      <c r="P409" s="220"/>
      <c r="Q409" s="220"/>
      <c r="S409" s="227" t="str">
        <f ca="1"/>
        <v>GEHC</v>
      </c>
      <c r="AB409" s="14" t="s">
        <v>1268</v>
      </c>
    </row>
    <row r="410" spans="1:28" ht="30" customHeight="1" x14ac:dyDescent="0.55000000000000004">
      <c r="A410" s="245" t="s">
        <v>1269</v>
      </c>
      <c r="B410" s="246" t="s">
        <v>1270</v>
      </c>
      <c r="C410" s="247">
        <v>2.7854E-2</v>
      </c>
      <c r="D410" s="248">
        <f t="shared" si="12"/>
        <v>2.7854000000000003E-4</v>
      </c>
      <c r="E410" s="69">
        <f t="shared" ca="1" si="13"/>
        <v>1.1184906102224253E-2</v>
      </c>
      <c r="F410" s="249" t="s">
        <v>37</v>
      </c>
      <c r="G410" s="220"/>
      <c r="H410" s="220"/>
      <c r="I410" s="220"/>
      <c r="J410" s="250" t="str" cm="1">
        <f t="array" aca="1" ref="J410" ca="1">IFERROR(INDEX(_xlfn.ANCHORARRAY($S$12),ROW()-12+1),"")</f>
        <v>PODD</v>
      </c>
      <c r="K410" s="70">
        <f ca="1">IF(Tabla16[[#This Row],[Ticker]]="",0,SUMIF(Tablaholdings[Ticker],Tabla16[[#This Row],[Ticker]],Tablaholdings[Peso Real en Portafolio])/100)</f>
        <v>1.7690796713664344E-4</v>
      </c>
      <c r="L410" s="220"/>
      <c r="M410" s="220"/>
      <c r="N410" s="220"/>
      <c r="O410" s="220"/>
      <c r="P410" s="220"/>
      <c r="Q410" s="220"/>
      <c r="S410" s="227" t="str">
        <f ca="1"/>
        <v>PODD</v>
      </c>
      <c r="AB410" s="14" t="s">
        <v>1271</v>
      </c>
    </row>
    <row r="411" spans="1:28" ht="30" customHeight="1" x14ac:dyDescent="0.55000000000000004">
      <c r="A411" s="245" t="s">
        <v>1272</v>
      </c>
      <c r="B411" s="246" t="s">
        <v>1273</v>
      </c>
      <c r="C411" s="247">
        <v>5.8784000000000003E-2</v>
      </c>
      <c r="D411" s="248">
        <f t="shared" si="12"/>
        <v>5.8784000000000006E-4</v>
      </c>
      <c r="E411" s="69">
        <f t="shared" ca="1" si="13"/>
        <v>2.3604994626019619E-2</v>
      </c>
      <c r="F411" s="249" t="s">
        <v>37</v>
      </c>
      <c r="G411" s="220"/>
      <c r="H411" s="220"/>
      <c r="I411" s="220"/>
      <c r="J411" s="250" t="str" cm="1">
        <f t="array" aca="1" ref="J411" ca="1">IFERROR(INDEX(_xlfn.ANCHORARRAY($S$12),ROW()-12+1),"")</f>
        <v>NRG</v>
      </c>
      <c r="K411" s="70">
        <f ca="1">IF(Tabla16[[#This Row],[Ticker]]="",0,SUMIF(Tablaholdings[Ticker],Tabla16[[#This Row],[Ticker]],Tablaholdings[Peso Real en Portafolio])/100)</f>
        <v>1.7541919403879749E-4</v>
      </c>
      <c r="L411" s="220"/>
      <c r="M411" s="220"/>
      <c r="N411" s="220"/>
      <c r="O411" s="220"/>
      <c r="P411" s="220"/>
      <c r="Q411" s="220"/>
      <c r="S411" s="227" t="str">
        <f ca="1"/>
        <v>NRG</v>
      </c>
      <c r="AB411" s="14" t="s">
        <v>1274</v>
      </c>
    </row>
    <row r="412" spans="1:28" ht="30" customHeight="1" x14ac:dyDescent="0.55000000000000004">
      <c r="A412" s="245" t="s">
        <v>1275</v>
      </c>
      <c r="B412" s="246" t="s">
        <v>1276</v>
      </c>
      <c r="C412" s="247">
        <v>0.13781399999999999</v>
      </c>
      <c r="D412" s="248">
        <f t="shared" si="12"/>
        <v>1.3781399999999999E-3</v>
      </c>
      <c r="E412" s="69">
        <f t="shared" ca="1" si="13"/>
        <v>5.5339866790117508E-2</v>
      </c>
      <c r="F412" s="249" t="s">
        <v>37</v>
      </c>
      <c r="G412" s="220"/>
      <c r="H412" s="220"/>
      <c r="I412" s="220"/>
      <c r="J412" s="250" t="str" cm="1">
        <f t="array" aca="1" ref="J412" ca="1">IFERROR(INDEX(_xlfn.ANCHORARRAY($S$12),ROW()-12+1),"")</f>
        <v>DOW</v>
      </c>
      <c r="K412" s="70">
        <f ca="1">IF(Tabla16[[#This Row],[Ticker]]="",0,SUMIF(Tablaholdings[Ticker],Tabla16[[#This Row],[Ticker]],Tablaholdings[Peso Real en Portafolio])/100)</f>
        <v>1.7501763928536081E-4</v>
      </c>
      <c r="L412" s="220"/>
      <c r="M412" s="220"/>
      <c r="N412" s="220"/>
      <c r="O412" s="220"/>
      <c r="P412" s="220"/>
      <c r="Q412" s="220"/>
      <c r="S412" s="227" t="str">
        <f ca="1"/>
        <v>DOW</v>
      </c>
      <c r="AB412" s="14" t="s">
        <v>1277</v>
      </c>
    </row>
    <row r="413" spans="1:28" ht="30" customHeight="1" x14ac:dyDescent="0.55000000000000004">
      <c r="A413" s="245" t="s">
        <v>1278</v>
      </c>
      <c r="B413" s="246" t="s">
        <v>1279</v>
      </c>
      <c r="C413" s="247">
        <v>1.5984999999999999E-2</v>
      </c>
      <c r="D413" s="248">
        <f t="shared" si="12"/>
        <v>1.5984999999999998E-4</v>
      </c>
      <c r="E413" s="69">
        <f t="shared" ca="1" si="13"/>
        <v>6.4188527336847372E-3</v>
      </c>
      <c r="F413" s="249" t="s">
        <v>37</v>
      </c>
      <c r="G413" s="220"/>
      <c r="H413" s="220"/>
      <c r="I413" s="220"/>
      <c r="J413" s="253" t="str" cm="1">
        <f t="array" aca="1" ref="J413" ca="1">IFERROR(INDEX(_xlfn.ANCHORARRAY($S$12),ROW()-12+1),"")</f>
        <v>FLUT</v>
      </c>
      <c r="K413" s="70">
        <f ca="1">IF(Tabla16[[#This Row],[Ticker]]="",0,SUMIF(Tablaholdings[Ticker],Tabla16[[#This Row],[Ticker]],Tablaholdings[Peso Real en Portafolio])/100)</f>
        <v>1.7329762445140683E-4</v>
      </c>
      <c r="L413" s="220"/>
      <c r="M413" s="220"/>
      <c r="N413" s="220"/>
      <c r="O413" s="220"/>
      <c r="P413" s="220"/>
      <c r="Q413" s="220"/>
      <c r="S413" s="227" t="str">
        <f ca="1"/>
        <v>FLUT</v>
      </c>
      <c r="AB413" s="14" t="s">
        <v>1280</v>
      </c>
    </row>
    <row r="414" spans="1:28" ht="30" customHeight="1" x14ac:dyDescent="0.55000000000000004">
      <c r="A414" s="245" t="s">
        <v>1281</v>
      </c>
      <c r="B414" s="246" t="s">
        <v>1282</v>
      </c>
      <c r="C414" s="247">
        <v>0.86961599999999994</v>
      </c>
      <c r="D414" s="248">
        <f t="shared" si="12"/>
        <v>8.6961599999999997E-3</v>
      </c>
      <c r="E414" s="69">
        <f t="shared" ca="1" si="13"/>
        <v>0.34919843846455967</v>
      </c>
      <c r="F414" s="249" t="s">
        <v>37</v>
      </c>
      <c r="G414" s="220"/>
      <c r="H414" s="220"/>
      <c r="I414" s="220"/>
      <c r="J414" s="250" t="str" cm="1">
        <f t="array" aca="1" ref="J414" ca="1">IFERROR(INDEX(_xlfn.ANCHORARRAY($S$12),ROW()-12+1),"")</f>
        <v>CNP</v>
      </c>
      <c r="K414" s="70">
        <f ca="1">IF(Tabla16[[#This Row],[Ticker]]="",0,SUMIF(Tablaholdings[Ticker],Tabla16[[#This Row],[Ticker]],Tablaholdings[Peso Real en Portafolio])/100)</f>
        <v>1.7308214537379622E-4</v>
      </c>
      <c r="L414" s="220"/>
      <c r="M414" s="220"/>
      <c r="N414" s="220"/>
      <c r="O414" s="220"/>
      <c r="P414" s="220"/>
      <c r="Q414" s="220"/>
      <c r="S414" s="227" t="str">
        <f ca="1"/>
        <v>CNP</v>
      </c>
      <c r="AB414" s="14" t="s">
        <v>1283</v>
      </c>
    </row>
    <row r="415" spans="1:28" ht="30" customHeight="1" x14ac:dyDescent="0.55000000000000004">
      <c r="A415" s="245" t="s">
        <v>1284</v>
      </c>
      <c r="B415" s="246" t="s">
        <v>1285</v>
      </c>
      <c r="C415" s="247">
        <v>1.2677590000000001</v>
      </c>
      <c r="D415" s="248">
        <f t="shared" si="12"/>
        <v>1.2677590000000001E-2</v>
      </c>
      <c r="E415" s="69">
        <f t="shared" ca="1" si="13"/>
        <v>0.50907465266208507</v>
      </c>
      <c r="F415" s="249" t="s">
        <v>37</v>
      </c>
      <c r="G415" s="220"/>
      <c r="H415" s="220"/>
      <c r="I415" s="220"/>
      <c r="J415" s="250" t="str" cm="1">
        <f t="array" aca="1" ref="J415" ca="1">IFERROR(INDEX(_xlfn.ANCHORARRAY($S$12),ROW()-12+1),"")</f>
        <v>CNC</v>
      </c>
      <c r="K415" s="70">
        <f ca="1">IF(Tabla16[[#This Row],[Ticker]]="",0,SUMIF(Tablaholdings[Ticker],Tabla16[[#This Row],[Ticker]],Tablaholdings[Peso Real en Portafolio])/100)</f>
        <v>1.729134923773528E-4</v>
      </c>
      <c r="L415" s="220"/>
      <c r="M415" s="220"/>
      <c r="N415" s="220"/>
      <c r="O415" s="220"/>
      <c r="P415" s="220"/>
      <c r="Q415" s="220"/>
      <c r="S415" s="227" t="str">
        <f ca="1"/>
        <v>CNC</v>
      </c>
      <c r="AB415" s="14" t="s">
        <v>1286</v>
      </c>
    </row>
    <row r="416" spans="1:28" ht="30" customHeight="1" x14ac:dyDescent="0.55000000000000004">
      <c r="A416" s="245" t="s">
        <v>1287</v>
      </c>
      <c r="B416" s="246" t="s">
        <v>1288</v>
      </c>
      <c r="C416" s="247">
        <v>6.2386999999999998E-2</v>
      </c>
      <c r="D416" s="248">
        <f t="shared" si="12"/>
        <v>6.2387E-4</v>
      </c>
      <c r="E416" s="69">
        <f t="shared" ca="1" si="13"/>
        <v>2.505179640265184E-2</v>
      </c>
      <c r="F416" s="249" t="s">
        <v>37</v>
      </c>
      <c r="G416" s="220"/>
      <c r="H416" s="220"/>
      <c r="I416" s="220"/>
      <c r="J416" s="250" t="str" cm="1">
        <f t="array" aca="1" ref="J416" ca="1">IFERROR(INDEX(_xlfn.ANCHORARRAY($S$12),ROW()-12+1),"")</f>
        <v>EIX</v>
      </c>
      <c r="K416" s="70">
        <f ca="1">IF(Tabla16[[#This Row],[Ticker]]="",0,SUMIF(Tablaholdings[Ticker],Tabla16[[#This Row],[Ticker]],Tablaholdings[Peso Real en Portafolio])/100)</f>
        <v>1.7055636597467969E-4</v>
      </c>
      <c r="L416" s="220"/>
      <c r="M416" s="220"/>
      <c r="N416" s="220"/>
      <c r="O416" s="220"/>
      <c r="P416" s="220"/>
      <c r="Q416" s="220"/>
      <c r="S416" s="227" t="str">
        <f ca="1"/>
        <v>EIX</v>
      </c>
      <c r="AB416" s="14" t="s">
        <v>1289</v>
      </c>
    </row>
    <row r="417" spans="1:28" ht="30" customHeight="1" x14ac:dyDescent="0.55000000000000004">
      <c r="A417" s="245" t="s">
        <v>1290</v>
      </c>
      <c r="B417" s="246" t="s">
        <v>1291</v>
      </c>
      <c r="C417" s="247">
        <v>3.0419999999999999E-2</v>
      </c>
      <c r="D417" s="248">
        <f t="shared" si="12"/>
        <v>3.0419999999999997E-4</v>
      </c>
      <c r="E417" s="69">
        <f t="shared" ca="1" si="13"/>
        <v>1.2215295599542677E-2</v>
      </c>
      <c r="F417" s="249" t="s">
        <v>37</v>
      </c>
      <c r="G417" s="220"/>
      <c r="H417" s="220"/>
      <c r="I417" s="220"/>
      <c r="J417" s="250" t="str" cm="1">
        <f t="array" aca="1" ref="J417" ca="1">IFERROR(INDEX(_xlfn.ANCHORARRAY($S$12),ROW()-12+1),"")</f>
        <v>RJF</v>
      </c>
      <c r="K417" s="70">
        <f ca="1">IF(Tabla16[[#This Row],[Ticker]]="",0,SUMIF(Tablaholdings[Ticker],Tabla16[[#This Row],[Ticker]],Tablaholdings[Peso Real en Portafolio])/100)</f>
        <v>1.6962877449424108E-4</v>
      </c>
      <c r="L417" s="220"/>
      <c r="M417" s="220"/>
      <c r="N417" s="220"/>
      <c r="O417" s="220"/>
      <c r="P417" s="220"/>
      <c r="Q417" s="220"/>
      <c r="S417" s="227" t="str">
        <f ca="1"/>
        <v>RJF</v>
      </c>
      <c r="AB417" s="14" t="s">
        <v>1292</v>
      </c>
    </row>
    <row r="418" spans="1:28" ht="30" customHeight="1" x14ac:dyDescent="0.55000000000000004">
      <c r="A418" s="245" t="s">
        <v>1293</v>
      </c>
      <c r="B418" s="246" t="s">
        <v>1294</v>
      </c>
      <c r="C418" s="247">
        <v>9.7122E-2</v>
      </c>
      <c r="D418" s="248">
        <f t="shared" si="12"/>
        <v>9.7121999999999996E-4</v>
      </c>
      <c r="E418" s="69">
        <f t="shared" ca="1" si="13"/>
        <v>3.8999800763273633E-2</v>
      </c>
      <c r="F418" s="249" t="s">
        <v>37</v>
      </c>
      <c r="G418" s="220"/>
      <c r="H418" s="220"/>
      <c r="I418" s="220"/>
      <c r="J418" s="253" t="str" cm="1">
        <f t="array" aca="1" ref="J418" ca="1">IFERROR(INDEX(_xlfn.ANCHORARRAY($S$12),ROW()-12+1),"")</f>
        <v>TPR</v>
      </c>
      <c r="K418" s="70">
        <f ca="1">IF(Tabla16[[#This Row],[Ticker]]="",0,SUMIF(Tablaholdings[Ticker],Tabla16[[#This Row],[Ticker]],Tablaholdings[Peso Real en Portafolio])/100)</f>
        <v>1.6893408477079569E-4</v>
      </c>
      <c r="L418" s="220"/>
      <c r="M418" s="220"/>
      <c r="N418" s="220"/>
      <c r="O418" s="220"/>
      <c r="P418" s="220"/>
      <c r="Q418" s="220"/>
      <c r="S418" s="227" t="str">
        <f ca="1"/>
        <v>TPR</v>
      </c>
      <c r="AB418" s="14" t="s">
        <v>1295</v>
      </c>
    </row>
    <row r="419" spans="1:28" ht="30" customHeight="1" x14ac:dyDescent="0.55000000000000004">
      <c r="A419" s="251" t="s">
        <v>1296</v>
      </c>
      <c r="B419" s="252" t="s">
        <v>1297</v>
      </c>
      <c r="C419" s="140">
        <v>8.5781738699999999E-2</v>
      </c>
      <c r="D419" s="248">
        <f t="shared" si="12"/>
        <v>8.5781738699999995E-4</v>
      </c>
      <c r="E419" s="69">
        <f t="shared" ca="1" si="13"/>
        <v>2.5746226767101817E-2</v>
      </c>
      <c r="F419" s="249" t="s">
        <v>38</v>
      </c>
      <c r="G419" s="220"/>
      <c r="H419" s="220"/>
      <c r="I419" s="220"/>
      <c r="J419" s="250" t="str" cm="1">
        <f t="array" aca="1" ref="J419" ca="1">IFERROR(INDEX(_xlfn.ANCHORARRAY($S$12),ROW()-12+1),"")</f>
        <v>TLN</v>
      </c>
      <c r="K419" s="70">
        <f ca="1">IF(Tabla16[[#This Row],[Ticker]]="",0,SUMIF(Tablaholdings[Ticker],Tabla16[[#This Row],[Ticker]],Tablaholdings[Peso Real en Portafolio])/100)</f>
        <v>1.6871048120682661E-4</v>
      </c>
      <c r="L419" s="220"/>
      <c r="M419" s="220"/>
      <c r="N419" s="220"/>
      <c r="O419" s="220"/>
      <c r="P419" s="220"/>
      <c r="Q419" s="220"/>
      <c r="S419" s="227" t="str">
        <f ca="1"/>
        <v>TLN</v>
      </c>
      <c r="AB419" s="14" t="s">
        <v>1298</v>
      </c>
    </row>
    <row r="420" spans="1:28" ht="30" customHeight="1" x14ac:dyDescent="0.55000000000000004">
      <c r="A420" s="245" t="s">
        <v>1299</v>
      </c>
      <c r="B420" s="246" t="s">
        <v>1300</v>
      </c>
      <c r="C420" s="247">
        <v>3.0948E-2</v>
      </c>
      <c r="D420" s="248">
        <f t="shared" si="12"/>
        <v>3.0948E-4</v>
      </c>
      <c r="E420" s="69">
        <f t="shared" ca="1" si="13"/>
        <v>1.2427316509357226E-2</v>
      </c>
      <c r="F420" s="249" t="s">
        <v>37</v>
      </c>
      <c r="G420" s="220"/>
      <c r="H420" s="220"/>
      <c r="I420" s="220"/>
      <c r="J420" s="253" t="str" cm="1">
        <f t="array" aca="1" ref="J420" ca="1">IFERROR(INDEX(_xlfn.ANCHORARRAY($S$12),ROW()-12+1),"")</f>
        <v>ZS</v>
      </c>
      <c r="K420" s="70">
        <f ca="1">IF(Tabla16[[#This Row],[Ticker]]="",0,SUMIF(Tablaholdings[Ticker],Tabla16[[#This Row],[Ticker]],Tablaholdings[Peso Real en Portafolio])/100)</f>
        <v>1.6798177248538354E-4</v>
      </c>
      <c r="L420" s="220"/>
      <c r="M420" s="220"/>
      <c r="N420" s="220"/>
      <c r="O420" s="220"/>
      <c r="P420" s="220"/>
      <c r="Q420" s="220"/>
      <c r="S420" s="227" t="str">
        <f ca="1"/>
        <v>ZS</v>
      </c>
      <c r="AB420" s="14" t="s">
        <v>1301</v>
      </c>
    </row>
    <row r="421" spans="1:28" ht="30" customHeight="1" x14ac:dyDescent="0.55000000000000004">
      <c r="A421" s="245" t="s">
        <v>1302</v>
      </c>
      <c r="B421" s="246" t="s">
        <v>1303</v>
      </c>
      <c r="C421" s="247">
        <v>2.4448999999999999E-2</v>
      </c>
      <c r="D421" s="248">
        <f t="shared" si="12"/>
        <v>2.4448999999999999E-4</v>
      </c>
      <c r="E421" s="69">
        <f t="shared" ca="1" si="13"/>
        <v>9.8176121667724828E-3</v>
      </c>
      <c r="F421" s="249" t="s">
        <v>37</v>
      </c>
      <c r="G421" s="220"/>
      <c r="H421" s="220"/>
      <c r="I421" s="220"/>
      <c r="J421" s="253" t="str" cm="1">
        <f t="array" aca="1" ref="J421" ca="1">IFERROR(INDEX(_xlfn.ANCHORARRAY($S$12),ROW()-12+1),"")</f>
        <v>BANR</v>
      </c>
      <c r="K421" s="70">
        <f ca="1">IF(Tabla16[[#This Row],[Ticker]]="",0,SUMIF(Tablaholdings[Ticker],Tabla16[[#This Row],[Ticker]],Tablaholdings[Peso Real en Portafolio])/100)</f>
        <v>1.6712949535635963E-4</v>
      </c>
      <c r="L421" s="220"/>
      <c r="M421" s="220"/>
      <c r="N421" s="220"/>
      <c r="O421" s="220"/>
      <c r="P421" s="220"/>
      <c r="Q421" s="220"/>
      <c r="S421" s="227" t="str">
        <f ca="1"/>
        <v>BANR</v>
      </c>
      <c r="AB421" s="14" t="s">
        <v>1304</v>
      </c>
    </row>
    <row r="422" spans="1:28" ht="30" customHeight="1" x14ac:dyDescent="0.55000000000000004">
      <c r="A422" s="251" t="s">
        <v>1305</v>
      </c>
      <c r="B422" s="252" t="s">
        <v>1306</v>
      </c>
      <c r="C422" s="140">
        <v>0.24128899979999999</v>
      </c>
      <c r="D422" s="248">
        <f t="shared" si="12"/>
        <v>2.412889998E-3</v>
      </c>
      <c r="E422" s="69">
        <f t="shared" ca="1" si="13"/>
        <v>7.1978630482453468E-2</v>
      </c>
      <c r="F422" s="249" t="s">
        <v>39</v>
      </c>
      <c r="G422" s="220"/>
      <c r="H422" s="220"/>
      <c r="I422" s="220"/>
      <c r="J422" s="250" t="str" cm="1">
        <f t="array" aca="1" ref="J422" ca="1">IFERROR(INDEX(_xlfn.ANCHORARRAY($S$12),ROW()-12+1),"")</f>
        <v>XYL</v>
      </c>
      <c r="K422" s="70">
        <f ca="1">IF(Tabla16[[#This Row],[Ticker]]="",0,SUMIF(Tablaholdings[Ticker],Tabla16[[#This Row],[Ticker]],Tablaholdings[Peso Real en Portafolio])/100)</f>
        <v>1.6712708838033076E-4</v>
      </c>
      <c r="L422" s="220"/>
      <c r="M422" s="220"/>
      <c r="N422" s="220"/>
      <c r="O422" s="220"/>
      <c r="P422" s="220"/>
      <c r="Q422" s="220"/>
      <c r="S422" s="227" t="str">
        <f ca="1"/>
        <v>XYL</v>
      </c>
      <c r="AB422" s="14" t="s">
        <v>1307</v>
      </c>
    </row>
    <row r="423" spans="1:28" ht="30" customHeight="1" x14ac:dyDescent="0.55000000000000004">
      <c r="A423" s="245" t="s">
        <v>1305</v>
      </c>
      <c r="B423" s="246" t="s">
        <v>1308</v>
      </c>
      <c r="C423" s="247">
        <v>0.104702</v>
      </c>
      <c r="D423" s="248">
        <f t="shared" si="12"/>
        <v>1.0470200000000001E-3</v>
      </c>
      <c r="E423" s="69">
        <f t="shared" ca="1" si="13"/>
        <v>4.2043585794323386E-2</v>
      </c>
      <c r="F423" s="249" t="s">
        <v>37</v>
      </c>
      <c r="G423" s="220"/>
      <c r="H423" s="220"/>
      <c r="I423" s="220"/>
      <c r="J423" s="250" t="str" cm="1">
        <f t="array" aca="1" ref="J423" ca="1">IFERROR(INDEX(_xlfn.ANCHORARRAY($S$12),ROW()-12+1),"")</f>
        <v>NBIX</v>
      </c>
      <c r="K423" s="70">
        <f ca="1">IF(Tabla16[[#This Row],[Ticker]]="",0,SUMIF(Tablaholdings[Ticker],Tabla16[[#This Row],[Ticker]],Tablaholdings[Peso Real en Portafolio])/100)</f>
        <v>1.669822187692608E-4</v>
      </c>
      <c r="L423" s="220"/>
      <c r="M423" s="220"/>
      <c r="N423" s="220"/>
      <c r="O423" s="220"/>
      <c r="P423" s="220"/>
      <c r="Q423" s="220"/>
      <c r="S423" s="227" t="str">
        <f ca="1"/>
        <v>NBIX</v>
      </c>
      <c r="AB423" s="14" t="s">
        <v>1309</v>
      </c>
    </row>
    <row r="424" spans="1:28" ht="30" customHeight="1" x14ac:dyDescent="0.55000000000000004">
      <c r="A424" s="251" t="s">
        <v>1310</v>
      </c>
      <c r="B424" s="252" t="s">
        <v>1311</v>
      </c>
      <c r="C424" s="140">
        <v>0.87881802730000003</v>
      </c>
      <c r="D424" s="248">
        <f t="shared" si="12"/>
        <v>8.7881802730000007E-3</v>
      </c>
      <c r="E424" s="69">
        <f t="shared" ca="1" si="13"/>
        <v>0.26215914567500892</v>
      </c>
      <c r="F424" s="249" t="s">
        <v>39</v>
      </c>
      <c r="G424" s="220"/>
      <c r="H424" s="220"/>
      <c r="I424" s="220"/>
      <c r="J424" s="250" t="str" cm="1">
        <f t="array" aca="1" ref="J424" ca="1">IFERROR(INDEX(_xlfn.ANCHORARRAY($S$12),ROW()-12+1),"")</f>
        <v>AVB</v>
      </c>
      <c r="K424" s="70">
        <f ca="1">IF(Tabla16[[#This Row],[Ticker]]="",0,SUMIF(Tablaholdings[Ticker],Tabla16[[#This Row],[Ticker]],Tablaholdings[Peso Real en Portafolio])/100)</f>
        <v>1.667415958170316E-4</v>
      </c>
      <c r="L424" s="220"/>
      <c r="M424" s="220"/>
      <c r="N424" s="220"/>
      <c r="O424" s="220"/>
      <c r="P424" s="220"/>
      <c r="Q424" s="220"/>
      <c r="S424" s="227" t="str">
        <f ca="1"/>
        <v>AVB</v>
      </c>
      <c r="AB424" s="14" t="s">
        <v>1312</v>
      </c>
    </row>
    <row r="425" spans="1:28" ht="30" customHeight="1" x14ac:dyDescent="0.55000000000000004">
      <c r="A425" s="245" t="s">
        <v>1310</v>
      </c>
      <c r="B425" s="246" t="s">
        <v>1311</v>
      </c>
      <c r="C425" s="247">
        <v>0.37973000000000001</v>
      </c>
      <c r="D425" s="248">
        <f t="shared" si="12"/>
        <v>3.7973E-3</v>
      </c>
      <c r="E425" s="69">
        <f t="shared" ca="1" si="13"/>
        <v>0.15248238652249643</v>
      </c>
      <c r="F425" s="249" t="s">
        <v>37</v>
      </c>
      <c r="G425" s="220"/>
      <c r="H425" s="220"/>
      <c r="I425" s="220"/>
      <c r="J425" s="253" t="str" cm="1">
        <f t="array" aca="1" ref="J425" ca="1">IFERROR(INDEX(_xlfn.ANCHORARRAY($S$12),ROW()-12+1),"")</f>
        <v>PPL</v>
      </c>
      <c r="K425" s="70">
        <f ca="1">IF(Tabla16[[#This Row],[Ticker]]="",0,SUMIF(Tablaholdings[Ticker],Tabla16[[#This Row],[Ticker]],Tablaholdings[Peso Real en Portafolio])/100)</f>
        <v>1.6623563682770142E-4</v>
      </c>
      <c r="L425" s="220"/>
      <c r="M425" s="220"/>
      <c r="N425" s="220"/>
      <c r="O425" s="220"/>
      <c r="P425" s="220"/>
      <c r="Q425" s="220"/>
      <c r="S425" s="227" t="str">
        <f ca="1"/>
        <v>PPL</v>
      </c>
      <c r="AB425" s="14" t="s">
        <v>1313</v>
      </c>
    </row>
    <row r="426" spans="1:28" ht="30" customHeight="1" x14ac:dyDescent="0.55000000000000004">
      <c r="A426" s="251" t="s">
        <v>1314</v>
      </c>
      <c r="B426" s="252" t="s">
        <v>1315</v>
      </c>
      <c r="C426" s="140">
        <v>0.82505137620000002</v>
      </c>
      <c r="D426" s="248">
        <f t="shared" si="12"/>
        <v>8.2505137620000005E-3</v>
      </c>
      <c r="E426" s="69">
        <f t="shared" ca="1" si="13"/>
        <v>0.24762799341760872</v>
      </c>
      <c r="F426" s="249" t="s">
        <v>38</v>
      </c>
      <c r="G426" s="220"/>
      <c r="H426" s="220"/>
      <c r="I426" s="220"/>
      <c r="J426" s="253" t="str" cm="1">
        <f t="array" aca="1" ref="J426" ca="1">IFERROR(INDEX(_xlfn.ANCHORARRAY($S$12),ROW()-12+1),"")</f>
        <v>CLH</v>
      </c>
      <c r="K426" s="70">
        <f ca="1">IF(Tabla16[[#This Row],[Ticker]]="",0,SUMIF(Tablaholdings[Ticker],Tabla16[[#This Row],[Ticker]],Tablaholdings[Peso Real en Portafolio])/100)</f>
        <v>1.6362239486595578E-4</v>
      </c>
      <c r="L426" s="220"/>
      <c r="M426" s="220"/>
      <c r="N426" s="220"/>
      <c r="O426" s="220"/>
      <c r="P426" s="220"/>
      <c r="Q426" s="220"/>
      <c r="S426" s="227" t="str">
        <f ca="1"/>
        <v>CLH</v>
      </c>
      <c r="AB426" s="14" t="s">
        <v>1316</v>
      </c>
    </row>
    <row r="427" spans="1:28" ht="30" customHeight="1" x14ac:dyDescent="0.55000000000000004">
      <c r="A427" s="245" t="s">
        <v>1314</v>
      </c>
      <c r="B427" s="246" t="s">
        <v>1315</v>
      </c>
      <c r="C427" s="247">
        <v>5.0541999999999997E-2</v>
      </c>
      <c r="D427" s="248">
        <f t="shared" si="12"/>
        <v>5.0541999999999991E-4</v>
      </c>
      <c r="E427" s="69">
        <f t="shared" ca="1" si="13"/>
        <v>2.0295380348194805E-2</v>
      </c>
      <c r="F427" s="249" t="s">
        <v>37</v>
      </c>
      <c r="G427" s="220"/>
      <c r="H427" s="220"/>
      <c r="I427" s="220"/>
      <c r="J427" s="250" t="str" cm="1">
        <f t="array" aca="1" ref="J427" ca="1">IFERROR(INDEX(_xlfn.ANCHORARRAY($S$12),ROW()-12+1),"")</f>
        <v>HUBB</v>
      </c>
      <c r="K427" s="70">
        <f ca="1">IF(Tabla16[[#This Row],[Ticker]]="",0,SUMIF(Tablaholdings[Ticker],Tabla16[[#This Row],[Ticker]],Tablaholdings[Peso Real en Portafolio])/100)</f>
        <v>1.6315169632130804E-4</v>
      </c>
      <c r="L427" s="220"/>
      <c r="M427" s="220"/>
      <c r="N427" s="220"/>
      <c r="O427" s="220"/>
      <c r="P427" s="220"/>
      <c r="Q427" s="220"/>
      <c r="S427" s="227" t="str">
        <f ca="1"/>
        <v>HUBB</v>
      </c>
      <c r="AB427" s="14" t="s">
        <v>1317</v>
      </c>
    </row>
    <row r="428" spans="1:28" ht="30" customHeight="1" x14ac:dyDescent="0.55000000000000004">
      <c r="A428" s="245" t="s">
        <v>1318</v>
      </c>
      <c r="B428" s="246" t="s">
        <v>1319</v>
      </c>
      <c r="C428" s="247">
        <v>0.10059999999999999</v>
      </c>
      <c r="D428" s="248">
        <f t="shared" si="12"/>
        <v>1.0059999999999999E-3</v>
      </c>
      <c r="E428" s="69">
        <f t="shared" ca="1" si="13"/>
        <v>4.0396408195726277E-2</v>
      </c>
      <c r="F428" s="249" t="s">
        <v>37</v>
      </c>
      <c r="G428" s="220"/>
      <c r="H428" s="220"/>
      <c r="I428" s="220"/>
      <c r="J428" s="250" t="str" cm="1">
        <f t="array" aca="1" ref="J428" ca="1">IFERROR(INDEX(_xlfn.ANCHORARRAY($S$12),ROW()-12+1),"")</f>
        <v>CFG</v>
      </c>
      <c r="K428" s="70">
        <f ca="1">IF(Tabla16[[#This Row],[Ticker]]="",0,SUMIF(Tablaholdings[Ticker],Tabla16[[#This Row],[Ticker]],Tablaholdings[Peso Real en Portafolio])/100)</f>
        <v>1.6126840452769016E-4</v>
      </c>
      <c r="L428" s="220"/>
      <c r="M428" s="220"/>
      <c r="N428" s="220"/>
      <c r="O428" s="220"/>
      <c r="P428" s="220"/>
      <c r="Q428" s="220"/>
      <c r="S428" s="227" t="str">
        <f ca="1"/>
        <v>CFG</v>
      </c>
      <c r="AB428" s="14" t="s">
        <v>1320</v>
      </c>
    </row>
    <row r="429" spans="1:28" ht="30" customHeight="1" x14ac:dyDescent="0.55000000000000004">
      <c r="A429" s="251" t="s">
        <v>1321</v>
      </c>
      <c r="B429" s="252" t="s">
        <v>1322</v>
      </c>
      <c r="C429" s="140">
        <v>2.34718706E-2</v>
      </c>
      <c r="D429" s="248">
        <f t="shared" si="12"/>
        <v>2.34718706E-4</v>
      </c>
      <c r="E429" s="69">
        <f t="shared" ca="1" si="13"/>
        <v>7.0018654064202528E-3</v>
      </c>
      <c r="F429" s="249" t="s">
        <v>39</v>
      </c>
      <c r="G429" s="220"/>
      <c r="H429" s="220"/>
      <c r="I429" s="220"/>
      <c r="J429" s="250" t="str" cm="1">
        <f t="array" aca="1" ref="J429" ca="1">IFERROR(INDEX(_xlfn.ANCHORARRAY($S$12),ROW()-12+1),"")</f>
        <v>ES</v>
      </c>
      <c r="K429" s="70">
        <f ca="1">IF(Tabla16[[#This Row],[Ticker]]="",0,SUMIF(Tablaholdings[Ticker],Tabla16[[#This Row],[Ticker]],Tablaholdings[Peso Real en Portafolio])/100)</f>
        <v>1.6104754941330003E-4</v>
      </c>
      <c r="L429" s="220"/>
      <c r="M429" s="220"/>
      <c r="N429" s="220"/>
      <c r="O429" s="220"/>
      <c r="P429" s="220"/>
      <c r="Q429" s="220"/>
      <c r="S429" s="227" t="str">
        <f ca="1"/>
        <v>ES</v>
      </c>
      <c r="AB429" s="14" t="s">
        <v>1323</v>
      </c>
    </row>
    <row r="430" spans="1:28" ht="30" customHeight="1" x14ac:dyDescent="0.55000000000000004">
      <c r="A430" s="251" t="s">
        <v>1324</v>
      </c>
      <c r="B430" s="252" t="s">
        <v>1325</v>
      </c>
      <c r="C430" s="140">
        <v>4.1164035061000002</v>
      </c>
      <c r="D430" s="248">
        <f t="shared" si="12"/>
        <v>4.1164035060999998E-2</v>
      </c>
      <c r="E430" s="69">
        <f t="shared" ca="1" si="13"/>
        <v>1.2354827465503866</v>
      </c>
      <c r="F430" s="249" t="s">
        <v>38</v>
      </c>
      <c r="G430" s="220"/>
      <c r="H430" s="220"/>
      <c r="I430" s="220"/>
      <c r="J430" s="250" t="str" cm="1">
        <f t="array" aca="1" ref="J430" ca="1">IFERROR(INDEX(_xlfn.ANCHORARRAY($S$12),ROW()-12+1),"")</f>
        <v>DPZ</v>
      </c>
      <c r="K430" s="70">
        <f ca="1">IF(Tabla16[[#This Row],[Ticker]]="",0,SUMIF(Tablaholdings[Ticker],Tabla16[[#This Row],[Ticker]],Tablaholdings[Peso Real en Portafolio])/100)</f>
        <v>1.6052315237169857E-4</v>
      </c>
      <c r="L430" s="220"/>
      <c r="M430" s="220"/>
      <c r="N430" s="220"/>
      <c r="O430" s="220"/>
      <c r="P430" s="220"/>
      <c r="Q430" s="220"/>
      <c r="S430" s="227" t="str">
        <f ca="1"/>
        <v>DPZ</v>
      </c>
      <c r="AB430" s="14" t="s">
        <v>1326</v>
      </c>
    </row>
    <row r="431" spans="1:28" ht="30" customHeight="1" x14ac:dyDescent="0.55000000000000004">
      <c r="A431" s="245" t="s">
        <v>1324</v>
      </c>
      <c r="B431" s="246" t="s">
        <v>1327</v>
      </c>
      <c r="C431" s="247">
        <v>0.48647699999999999</v>
      </c>
      <c r="D431" s="248">
        <f t="shared" si="12"/>
        <v>4.86477E-3</v>
      </c>
      <c r="E431" s="69">
        <f t="shared" ca="1" si="13"/>
        <v>0.19534715178759773</v>
      </c>
      <c r="F431" s="249" t="s">
        <v>37</v>
      </c>
      <c r="G431" s="220"/>
      <c r="H431" s="220"/>
      <c r="I431" s="220"/>
      <c r="J431" s="253" t="str" cm="1">
        <f t="array" aca="1" ref="J431" ca="1">IFERROR(INDEX(_xlfn.ANCHORARRAY($S$12),ROW()-12+1),"")</f>
        <v>EXPE</v>
      </c>
      <c r="K431" s="70">
        <f ca="1">IF(Tabla16[[#This Row],[Ticker]]="",0,SUMIF(Tablaholdings[Ticker],Tabla16[[#This Row],[Ticker]],Tablaholdings[Peso Real en Portafolio])/100)</f>
        <v>1.5996335157902108E-4</v>
      </c>
      <c r="L431" s="220"/>
      <c r="M431" s="220"/>
      <c r="N431" s="220"/>
      <c r="O431" s="220"/>
      <c r="P431" s="220"/>
      <c r="Q431" s="220"/>
      <c r="S431" s="227" t="str">
        <f ca="1"/>
        <v>EXPE</v>
      </c>
      <c r="AB431" s="14" t="s">
        <v>1328</v>
      </c>
    </row>
    <row r="432" spans="1:28" ht="30" customHeight="1" x14ac:dyDescent="0.55000000000000004">
      <c r="A432" s="245" t="s">
        <v>1329</v>
      </c>
      <c r="B432" s="246" t="s">
        <v>1330</v>
      </c>
      <c r="C432" s="247">
        <v>6.0351000000000002E-2</v>
      </c>
      <c r="D432" s="248">
        <f t="shared" si="12"/>
        <v>6.0351000000000003E-4</v>
      </c>
      <c r="E432" s="69">
        <f t="shared" ca="1" si="13"/>
        <v>2.4234230924654838E-2</v>
      </c>
      <c r="F432" s="249" t="s">
        <v>37</v>
      </c>
      <c r="G432" s="220"/>
      <c r="H432" s="220"/>
      <c r="I432" s="220"/>
      <c r="J432" s="250" t="str" cm="1">
        <f t="array" aca="1" ref="J432" ca="1">IFERROR(INDEX(_xlfn.ANCHORARRAY($S$12),ROW()-12+1),"")</f>
        <v>PFGC</v>
      </c>
      <c r="K432" s="70">
        <f ca="1">IF(Tabla16[[#This Row],[Ticker]]="",0,SUMIF(Tablaholdings[Ticker],Tabla16[[#This Row],[Ticker]],Tablaholdings[Peso Real en Portafolio])/100)</f>
        <v>1.5955166590663793E-4</v>
      </c>
      <c r="L432" s="220"/>
      <c r="M432" s="220"/>
      <c r="N432" s="220"/>
      <c r="O432" s="220"/>
      <c r="P432" s="220"/>
      <c r="Q432" s="220"/>
      <c r="S432" s="227" t="str">
        <f ca="1"/>
        <v>PFGC</v>
      </c>
      <c r="AB432" s="14" t="s">
        <v>1331</v>
      </c>
    </row>
    <row r="433" spans="1:28" ht="30" customHeight="1" x14ac:dyDescent="0.55000000000000004">
      <c r="A433" s="245" t="s">
        <v>1332</v>
      </c>
      <c r="B433" s="246" t="s">
        <v>1333</v>
      </c>
      <c r="C433" s="247">
        <v>5.1626999999999999E-2</v>
      </c>
      <c r="D433" s="248">
        <f t="shared" si="12"/>
        <v>5.1626999999999999E-4</v>
      </c>
      <c r="E433" s="69">
        <f t="shared" ca="1" si="13"/>
        <v>2.0731067255673565E-2</v>
      </c>
      <c r="F433" s="249" t="s">
        <v>37</v>
      </c>
      <c r="G433" s="220"/>
      <c r="H433" s="220"/>
      <c r="I433" s="220"/>
      <c r="J433" s="250" t="str" cm="1">
        <f t="array" aca="1" ref="J433" ca="1">IFERROR(INDEX(_xlfn.ANCHORARRAY($S$12),ROW()-12+1),"")</f>
        <v>IR</v>
      </c>
      <c r="K433" s="70">
        <f ca="1">IF(Tabla16[[#This Row],[Ticker]]="",0,SUMIF(Tablaholdings[Ticker],Tabla16[[#This Row],[Ticker]],Tablaholdings[Peso Real en Portafolio])/100)</f>
        <v>1.5932487952105681E-4</v>
      </c>
      <c r="L433" s="220"/>
      <c r="M433" s="220"/>
      <c r="N433" s="220"/>
      <c r="O433" s="220"/>
      <c r="P433" s="220"/>
      <c r="Q433" s="220"/>
      <c r="S433" s="227" t="str">
        <f ca="1"/>
        <v>IR</v>
      </c>
      <c r="AB433" s="14" t="s">
        <v>1334</v>
      </c>
    </row>
    <row r="434" spans="1:28" ht="30" customHeight="1" x14ac:dyDescent="0.55000000000000004">
      <c r="A434" s="245" t="s">
        <v>1335</v>
      </c>
      <c r="B434" s="246" t="s">
        <v>1336</v>
      </c>
      <c r="C434" s="247">
        <v>2.7612000000000001E-2</v>
      </c>
      <c r="D434" s="248">
        <f t="shared" si="12"/>
        <v>2.7612000000000003E-4</v>
      </c>
      <c r="E434" s="69">
        <f t="shared" ca="1" si="13"/>
        <v>1.1087729851892585E-2</v>
      </c>
      <c r="F434" s="249" t="s">
        <v>37</v>
      </c>
      <c r="G434" s="220"/>
      <c r="H434" s="220"/>
      <c r="I434" s="220"/>
      <c r="J434" s="250" t="str" cm="1">
        <f t="array" aca="1" ref="J434" ca="1">IFERROR(INDEX(_xlfn.ANCHORARRAY($S$12),ROW()-12+1),"")</f>
        <v>FSLR</v>
      </c>
      <c r="K434" s="70">
        <f ca="1">IF(Tabla16[[#This Row],[Ticker]]="",0,SUMIF(Tablaholdings[Ticker],Tabla16[[#This Row],[Ticker]],Tablaholdings[Peso Real en Portafolio])/100)</f>
        <v>1.5816438628362493E-4</v>
      </c>
      <c r="L434" s="220"/>
      <c r="M434" s="220"/>
      <c r="N434" s="220"/>
      <c r="O434" s="220"/>
      <c r="P434" s="220"/>
      <c r="Q434" s="220"/>
      <c r="S434" s="227" t="str">
        <f ca="1"/>
        <v>FSLR</v>
      </c>
      <c r="AB434" s="14" t="s">
        <v>1337</v>
      </c>
    </row>
    <row r="435" spans="1:28" ht="30" customHeight="1" x14ac:dyDescent="0.55000000000000004">
      <c r="A435" s="251" t="s">
        <v>1338</v>
      </c>
      <c r="B435" s="252" t="s">
        <v>1339</v>
      </c>
      <c r="C435" s="140">
        <v>1.64658848E-2</v>
      </c>
      <c r="D435" s="248">
        <f t="shared" si="12"/>
        <v>1.6465884800000001E-4</v>
      </c>
      <c r="E435" s="69">
        <f t="shared" ca="1" si="13"/>
        <v>4.9119182331902028E-3</v>
      </c>
      <c r="F435" s="249" t="s">
        <v>39</v>
      </c>
      <c r="G435" s="220"/>
      <c r="H435" s="220"/>
      <c r="I435" s="220"/>
      <c r="J435" s="250" t="str" cm="1">
        <f t="array" aca="1" ref="J435" ca="1">IFERROR(INDEX(_xlfn.ANCHORARRAY($S$12),ROW()-12+1),"")</f>
        <v>AWK</v>
      </c>
      <c r="K435" s="70">
        <f ca="1">IF(Tabla16[[#This Row],[Ticker]]="",0,SUMIF(Tablaholdings[Ticker],Tabla16[[#This Row],[Ticker]],Tablaholdings[Peso Real en Portafolio])/100)</f>
        <v>1.5623290791959464E-4</v>
      </c>
      <c r="L435" s="220"/>
      <c r="M435" s="220"/>
      <c r="N435" s="220"/>
      <c r="O435" s="220"/>
      <c r="P435" s="220"/>
      <c r="Q435" s="220"/>
      <c r="S435" s="227" t="str">
        <f ca="1"/>
        <v>AWK</v>
      </c>
      <c r="AB435" s="14" t="s">
        <v>1340</v>
      </c>
    </row>
    <row r="436" spans="1:28" ht="30" customHeight="1" x14ac:dyDescent="0.55000000000000004">
      <c r="A436" s="245" t="s">
        <v>1341</v>
      </c>
      <c r="B436" s="246" t="s">
        <v>1342</v>
      </c>
      <c r="C436" s="247">
        <v>2.4976000000000002E-2</v>
      </c>
      <c r="D436" s="248">
        <f t="shared" si="12"/>
        <v>2.4976000000000002E-4</v>
      </c>
      <c r="E436" s="69">
        <f t="shared" ca="1" si="13"/>
        <v>1.0029231521833595E-2</v>
      </c>
      <c r="F436" s="249" t="s">
        <v>37</v>
      </c>
      <c r="G436" s="220"/>
      <c r="H436" s="220"/>
      <c r="I436" s="220"/>
      <c r="J436" s="250" t="str" cm="1">
        <f t="array" aca="1" ref="J436" ca="1">IFERROR(INDEX(_xlfn.ANCHORARRAY($S$12),ROW()-12+1),"")</f>
        <v>VRSN</v>
      </c>
      <c r="K436" s="70">
        <f ca="1">IF(Tabla16[[#This Row],[Ticker]]="",0,SUMIF(Tablaholdings[Ticker],Tabla16[[#This Row],[Ticker]],Tablaholdings[Peso Real en Portafolio])/100)</f>
        <v>1.5394806137254016E-4</v>
      </c>
      <c r="L436" s="220"/>
      <c r="M436" s="220"/>
      <c r="N436" s="220"/>
      <c r="O436" s="220"/>
      <c r="P436" s="220"/>
      <c r="Q436" s="220"/>
      <c r="S436" s="227" t="str">
        <f ca="1"/>
        <v>VRSN</v>
      </c>
      <c r="AB436" s="14" t="s">
        <v>1343</v>
      </c>
    </row>
    <row r="437" spans="1:28" ht="30" customHeight="1" x14ac:dyDescent="0.55000000000000004">
      <c r="A437" s="245" t="s">
        <v>1344</v>
      </c>
      <c r="B437" s="246" t="s">
        <v>1345</v>
      </c>
      <c r="C437" s="247">
        <v>2.8724E-2</v>
      </c>
      <c r="D437" s="248">
        <f t="shared" si="12"/>
        <v>2.8724000000000002E-4</v>
      </c>
      <c r="E437" s="69">
        <f t="shared" ca="1" si="13"/>
        <v>1.1534258737714131E-2</v>
      </c>
      <c r="F437" s="249" t="s">
        <v>37</v>
      </c>
      <c r="G437" s="220"/>
      <c r="H437" s="220"/>
      <c r="I437" s="220"/>
      <c r="J437" s="250" t="str" cm="1">
        <f t="array" aca="1" ref="J437" ca="1">IFERROR(INDEX(_xlfn.ANCHORARRAY($S$12),ROW()-12+1),"")</f>
        <v>CNS</v>
      </c>
      <c r="K437" s="70">
        <f ca="1">IF(Tabla16[[#This Row],[Ticker]]="",0,SUMIF(Tablaholdings[Ticker],Tabla16[[#This Row],[Ticker]],Tablaholdings[Peso Real en Portafolio])/100)</f>
        <v>1.5393805465480523E-4</v>
      </c>
      <c r="L437" s="220"/>
      <c r="M437" s="220"/>
      <c r="N437" s="220"/>
      <c r="O437" s="220"/>
      <c r="P437" s="220"/>
      <c r="Q437" s="220"/>
      <c r="S437" s="227" t="str">
        <f ca="1"/>
        <v>CNS</v>
      </c>
      <c r="AB437" s="14" t="s">
        <v>1346</v>
      </c>
    </row>
    <row r="438" spans="1:28" ht="30" customHeight="1" x14ac:dyDescent="0.55000000000000004">
      <c r="A438" s="245" t="s">
        <v>1347</v>
      </c>
      <c r="B438" s="246" t="s">
        <v>1348</v>
      </c>
      <c r="C438" s="247">
        <v>3.3182000000000003E-2</v>
      </c>
      <c r="D438" s="248">
        <f t="shared" si="12"/>
        <v>3.3182000000000003E-4</v>
      </c>
      <c r="E438" s="69">
        <f t="shared" ca="1" si="13"/>
        <v>1.3324389828534688E-2</v>
      </c>
      <c r="F438" s="249" t="s">
        <v>37</v>
      </c>
      <c r="G438" s="220"/>
      <c r="H438" s="220"/>
      <c r="I438" s="220"/>
      <c r="J438" s="253" t="str" cm="1">
        <f t="array" aca="1" ref="J438" ca="1">IFERROR(INDEX(_xlfn.ANCHORARRAY($S$12),ROW()-12+1),"")</f>
        <v>SYF</v>
      </c>
      <c r="K438" s="70">
        <f ca="1">IF(Tabla16[[#This Row],[Ticker]]="",0,SUMIF(Tablaholdings[Ticker],Tabla16[[#This Row],[Ticker]],Tablaholdings[Peso Real en Portafolio])/100)</f>
        <v>1.5255868192564937E-4</v>
      </c>
      <c r="L438" s="220"/>
      <c r="M438" s="220"/>
      <c r="N438" s="220"/>
      <c r="O438" s="220"/>
      <c r="P438" s="220"/>
      <c r="Q438" s="220"/>
      <c r="S438" s="227" t="str">
        <f ca="1"/>
        <v>SYF</v>
      </c>
      <c r="AB438" s="14" t="s">
        <v>1349</v>
      </c>
    </row>
    <row r="439" spans="1:28" ht="30" customHeight="1" x14ac:dyDescent="0.55000000000000004">
      <c r="A439" s="245" t="s">
        <v>1350</v>
      </c>
      <c r="B439" s="246" t="s">
        <v>1351</v>
      </c>
      <c r="C439" s="247">
        <v>8.9241000000000001E-2</v>
      </c>
      <c r="D439" s="248">
        <f t="shared" si="12"/>
        <v>8.9241000000000006E-4</v>
      </c>
      <c r="E439" s="69">
        <f t="shared" ca="1" si="13"/>
        <v>3.583514775143945E-2</v>
      </c>
      <c r="F439" s="249" t="s">
        <v>37</v>
      </c>
      <c r="G439" s="220"/>
      <c r="H439" s="220"/>
      <c r="I439" s="220"/>
      <c r="J439" s="250" t="str" cm="1">
        <f t="array" aca="1" ref="J439" ca="1">IFERROR(INDEX(_xlfn.ANCHORARRAY($S$12),ROW()-12+1),"")</f>
        <v>TTD</v>
      </c>
      <c r="K439" s="70">
        <f ca="1">IF(Tabla16[[#This Row],[Ticker]]="",0,SUMIF(Tablaholdings[Ticker],Tabla16[[#This Row],[Ticker]],Tablaholdings[Peso Real en Portafolio])/100)</f>
        <v>1.5163788930344866E-4</v>
      </c>
      <c r="L439" s="220"/>
      <c r="M439" s="220"/>
      <c r="N439" s="220"/>
      <c r="O439" s="220"/>
      <c r="P439" s="220"/>
      <c r="Q439" s="220"/>
      <c r="S439" s="227" t="str">
        <f ca="1"/>
        <v>TTD</v>
      </c>
      <c r="AB439" s="14" t="s">
        <v>1352</v>
      </c>
    </row>
    <row r="440" spans="1:28" ht="30" customHeight="1" x14ac:dyDescent="0.55000000000000004">
      <c r="A440" s="251" t="s">
        <v>1353</v>
      </c>
      <c r="B440" s="252" t="s">
        <v>1354</v>
      </c>
      <c r="C440" s="140">
        <v>5.88850437E-2</v>
      </c>
      <c r="D440" s="248">
        <f t="shared" si="12"/>
        <v>5.8885043700000002E-4</v>
      </c>
      <c r="E440" s="69">
        <f t="shared" ca="1" si="13"/>
        <v>1.756592635776438E-2</v>
      </c>
      <c r="F440" s="249" t="s">
        <v>39</v>
      </c>
      <c r="G440" s="220"/>
      <c r="H440" s="220"/>
      <c r="I440" s="220"/>
      <c r="J440" s="253" t="str" cm="1">
        <f t="array" aca="1" ref="J440" ca="1">IFERROR(INDEX(_xlfn.ANCHORARRAY($S$12),ROW()-12+1),"")</f>
        <v>OFG</v>
      </c>
      <c r="K440" s="70">
        <f ca="1">IF(Tabla16[[#This Row],[Ticker]]="",0,SUMIF(Tablaholdings[Ticker],Tabla16[[#This Row],[Ticker]],Tablaholdings[Peso Real en Portafolio])/100)</f>
        <v>1.4891437130837176E-4</v>
      </c>
      <c r="L440" s="220"/>
      <c r="M440" s="220"/>
      <c r="N440" s="220"/>
      <c r="O440" s="220"/>
      <c r="P440" s="220"/>
      <c r="Q440" s="220"/>
      <c r="S440" s="227" t="str">
        <f ca="1"/>
        <v>OFG</v>
      </c>
      <c r="AB440" s="14" t="s">
        <v>1355</v>
      </c>
    </row>
    <row r="441" spans="1:28" ht="30" customHeight="1" x14ac:dyDescent="0.55000000000000004">
      <c r="A441" s="245" t="s">
        <v>1353</v>
      </c>
      <c r="B441" s="246" t="s">
        <v>1354</v>
      </c>
      <c r="C441" s="247">
        <v>2.5389999999999999E-2</v>
      </c>
      <c r="D441" s="248">
        <f t="shared" si="12"/>
        <v>2.5389999999999999E-4</v>
      </c>
      <c r="E441" s="69">
        <f t="shared" ca="1" si="13"/>
        <v>1.0195475189756364E-2</v>
      </c>
      <c r="F441" s="249" t="s">
        <v>37</v>
      </c>
      <c r="G441" s="220"/>
      <c r="H441" s="220"/>
      <c r="I441" s="220"/>
      <c r="J441" s="250" t="str" cm="1">
        <f t="array" aca="1" ref="J441" ca="1">IFERROR(INDEX(_xlfn.ANCHORARRAY($S$12),ROW()-12+1),"")</f>
        <v>ALB</v>
      </c>
      <c r="K441" s="70">
        <f ca="1">IF(Tabla16[[#This Row],[Ticker]]="",0,SUMIF(Tablaholdings[Ticker],Tabla16[[#This Row],[Ticker]],Tablaholdings[Peso Real en Portafolio])/100)</f>
        <v>1.4848290117826747E-4</v>
      </c>
      <c r="L441" s="220"/>
      <c r="M441" s="220"/>
      <c r="N441" s="220"/>
      <c r="O441" s="220"/>
      <c r="P441" s="220"/>
      <c r="Q441" s="220"/>
      <c r="S441" s="227" t="str">
        <f ca="1"/>
        <v>ALB</v>
      </c>
      <c r="AB441" s="14" t="s">
        <v>1356</v>
      </c>
    </row>
    <row r="442" spans="1:28" ht="30" customHeight="1" x14ac:dyDescent="0.55000000000000004">
      <c r="A442" s="251" t="s">
        <v>1357</v>
      </c>
      <c r="B442" s="252" t="s">
        <v>1358</v>
      </c>
      <c r="C442" s="140">
        <v>0.84679128290000005</v>
      </c>
      <c r="D442" s="248">
        <f t="shared" si="12"/>
        <v>8.4679128289999999E-3</v>
      </c>
      <c r="E442" s="69">
        <f t="shared" ca="1" si="13"/>
        <v>0.25260528618438005</v>
      </c>
      <c r="F442" s="249" t="s">
        <v>39</v>
      </c>
      <c r="G442" s="220"/>
      <c r="H442" s="220"/>
      <c r="I442" s="220"/>
      <c r="J442" s="250" t="str" cm="1">
        <f t="array" aca="1" ref="J442" ca="1">IFERROR(INDEX(_xlfn.ANCHORARRAY($S$12),ROW()-12+1),"")</f>
        <v>PPG</v>
      </c>
      <c r="K442" s="70">
        <f ca="1">IF(Tabla16[[#This Row],[Ticker]]="",0,SUMIF(Tablaholdings[Ticker],Tabla16[[#This Row],[Ticker]],Tablaholdings[Peso Real en Portafolio])/100)</f>
        <v>1.4836243475223646E-4</v>
      </c>
      <c r="L442" s="220"/>
      <c r="M442" s="220"/>
      <c r="N442" s="220"/>
      <c r="O442" s="220"/>
      <c r="P442" s="220"/>
      <c r="Q442" s="220"/>
      <c r="S442" s="227" t="str">
        <f ca="1"/>
        <v>PPG</v>
      </c>
      <c r="AB442" s="14" t="s">
        <v>1359</v>
      </c>
    </row>
    <row r="443" spans="1:28" ht="30" customHeight="1" x14ac:dyDescent="0.55000000000000004">
      <c r="A443" s="245" t="s">
        <v>1357</v>
      </c>
      <c r="B443" s="246" t="s">
        <v>1358</v>
      </c>
      <c r="C443" s="247">
        <v>0.37523899999999999</v>
      </c>
      <c r="D443" s="248">
        <f t="shared" si="12"/>
        <v>3.75239E-3</v>
      </c>
      <c r="E443" s="69">
        <f t="shared" ca="1" si="13"/>
        <v>0.15067900412481244</v>
      </c>
      <c r="F443" s="249" t="s">
        <v>37</v>
      </c>
      <c r="G443" s="220"/>
      <c r="H443" s="220"/>
      <c r="I443" s="220"/>
      <c r="J443" s="250" t="str" cm="1">
        <f t="array" aca="1" ref="J443" ca="1">IFERROR(INDEX(_xlfn.ANCHORARRAY($S$12),ROW()-12+1),"")</f>
        <v>CSL</v>
      </c>
      <c r="K443" s="70">
        <f ca="1">IF(Tabla16[[#This Row],[Ticker]]="",0,SUMIF(Tablaholdings[Ticker],Tabla16[[#This Row],[Ticker]],Tablaholdings[Peso Real en Portafolio])/100)</f>
        <v>1.4820490595171315E-4</v>
      </c>
      <c r="L443" s="220"/>
      <c r="M443" s="220"/>
      <c r="N443" s="220"/>
      <c r="O443" s="220"/>
      <c r="P443" s="220"/>
      <c r="Q443" s="220"/>
      <c r="S443" s="227" t="str">
        <f ca="1"/>
        <v>CSL</v>
      </c>
      <c r="AB443" s="14" t="s">
        <v>1360</v>
      </c>
    </row>
    <row r="444" spans="1:28" ht="30" customHeight="1" x14ac:dyDescent="0.55000000000000004">
      <c r="A444" s="245" t="s">
        <v>1361</v>
      </c>
      <c r="B444" s="246" t="s">
        <v>1362</v>
      </c>
      <c r="C444" s="247">
        <v>0.115346</v>
      </c>
      <c r="D444" s="248">
        <f t="shared" si="12"/>
        <v>1.15346E-3</v>
      </c>
      <c r="E444" s="69">
        <f t="shared" ca="1" si="13"/>
        <v>4.6317734589903015E-2</v>
      </c>
      <c r="F444" s="249" t="s">
        <v>37</v>
      </c>
      <c r="G444" s="220"/>
      <c r="H444" s="220"/>
      <c r="I444" s="220"/>
      <c r="J444" s="253" t="str" cm="1">
        <f t="array" aca="1" ref="J444" ca="1">IFERROR(INDEX(_xlfn.ANCHORARRAY($S$12),ROW()-12+1),"")</f>
        <v>NTAP</v>
      </c>
      <c r="K444" s="70">
        <f ca="1">IF(Tabla16[[#This Row],[Ticker]]="",0,SUMIF(Tablaholdings[Ticker],Tabla16[[#This Row],[Ticker]],Tablaholdings[Peso Real en Portafolio])/100)</f>
        <v>1.4800505102167787E-4</v>
      </c>
      <c r="L444" s="220"/>
      <c r="M444" s="220"/>
      <c r="N444" s="220"/>
      <c r="O444" s="220"/>
      <c r="P444" s="220"/>
      <c r="Q444" s="220"/>
      <c r="S444" s="227" t="str">
        <f ca="1"/>
        <v>NTAP</v>
      </c>
      <c r="AB444" s="14" t="s">
        <v>1363</v>
      </c>
    </row>
    <row r="445" spans="1:28" ht="30" customHeight="1" x14ac:dyDescent="0.55000000000000004">
      <c r="A445" s="251" t="s">
        <v>1364</v>
      </c>
      <c r="B445" s="252" t="s">
        <v>1365</v>
      </c>
      <c r="C445" s="140">
        <v>3.7562486999999999E-2</v>
      </c>
      <c r="D445" s="248">
        <f t="shared" si="12"/>
        <v>3.7562486999999996E-4</v>
      </c>
      <c r="E445" s="69">
        <f t="shared" ca="1" si="13"/>
        <v>1.127387160594256E-2</v>
      </c>
      <c r="F445" s="249" t="s">
        <v>38</v>
      </c>
      <c r="G445" s="220"/>
      <c r="H445" s="220"/>
      <c r="I445" s="220"/>
      <c r="J445" s="253" t="str" cm="1">
        <f t="array" aca="1" ref="J445" ca="1">IFERROR(INDEX(_xlfn.ANCHORARRAY($S$12),ROW()-12+1),"")</f>
        <v>OMC</v>
      </c>
      <c r="K445" s="70">
        <f ca="1">IF(Tabla16[[#This Row],[Ticker]]="",0,SUMIF(Tablaholdings[Ticker],Tabla16[[#This Row],[Ticker]],Tablaholdings[Peso Real en Portafolio])/100)</f>
        <v>1.4702927297082681E-4</v>
      </c>
      <c r="L445" s="220"/>
      <c r="M445" s="220"/>
      <c r="N445" s="220"/>
      <c r="O445" s="220"/>
      <c r="P445" s="220"/>
      <c r="Q445" s="220"/>
      <c r="S445" s="227" t="str">
        <f ca="1"/>
        <v>OMC</v>
      </c>
      <c r="AB445" s="14" t="s">
        <v>1366</v>
      </c>
    </row>
    <row r="446" spans="1:28" ht="30" customHeight="1" x14ac:dyDescent="0.55000000000000004">
      <c r="A446" s="251" t="s">
        <v>1367</v>
      </c>
      <c r="B446" s="252" t="s">
        <v>1368</v>
      </c>
      <c r="C446" s="140">
        <v>2.8190525687000001</v>
      </c>
      <c r="D446" s="248">
        <f t="shared" si="12"/>
        <v>2.8190525687E-2</v>
      </c>
      <c r="E446" s="69">
        <f t="shared" ca="1" si="13"/>
        <v>0.84094817136818589</v>
      </c>
      <c r="F446" s="249" t="s">
        <v>39</v>
      </c>
      <c r="G446" s="220"/>
      <c r="H446" s="220"/>
      <c r="I446" s="220"/>
      <c r="J446" s="250" t="str" cm="1">
        <f t="array" aca="1" ref="J446" ca="1">IFERROR(INDEX(_xlfn.ANCHORARRAY($S$12),ROW()-12+1),"")</f>
        <v>SUI</v>
      </c>
      <c r="K446" s="70">
        <f ca="1">IF(Tabla16[[#This Row],[Ticker]]="",0,SUMIF(Tablaholdings[Ticker],Tabla16[[#This Row],[Ticker]],Tablaholdings[Peso Real en Portafolio])/100)</f>
        <v>1.4689110420634235E-4</v>
      </c>
      <c r="L446" s="220"/>
      <c r="M446" s="220"/>
      <c r="N446" s="220"/>
      <c r="O446" s="220"/>
      <c r="P446" s="220"/>
      <c r="Q446" s="220"/>
      <c r="S446" s="227" t="str">
        <f ca="1"/>
        <v>SUI</v>
      </c>
      <c r="AB446" s="14" t="s">
        <v>1369</v>
      </c>
    </row>
    <row r="447" spans="1:28" ht="30" customHeight="1" x14ac:dyDescent="0.55000000000000004">
      <c r="A447" s="245" t="s">
        <v>1367</v>
      </c>
      <c r="B447" s="246" t="s">
        <v>1370</v>
      </c>
      <c r="C447" s="247">
        <v>1.2604869999999999</v>
      </c>
      <c r="D447" s="248">
        <f t="shared" si="12"/>
        <v>1.2604869999999999E-2</v>
      </c>
      <c r="E447" s="69">
        <f t="shared" ca="1" si="13"/>
        <v>0.50615454649509373</v>
      </c>
      <c r="F447" s="249" t="s">
        <v>37</v>
      </c>
      <c r="G447" s="220"/>
      <c r="H447" s="220"/>
      <c r="I447" s="220"/>
      <c r="J447" s="253" t="str" cm="1">
        <f t="array" aca="1" ref="J447" ca="1">IFERROR(INDEX(_xlfn.ANCHORARRAY($S$12),ROW()-12+1),"")</f>
        <v>CPAY</v>
      </c>
      <c r="K447" s="70">
        <f ca="1">IF(Tabla16[[#This Row],[Ticker]]="",0,SUMIF(Tablaholdings[Ticker],Tabla16[[#This Row],[Ticker]],Tablaholdings[Peso Real en Portafolio])/100)</f>
        <v>1.4620608572628169E-4</v>
      </c>
      <c r="L447" s="220"/>
      <c r="M447" s="220"/>
      <c r="N447" s="220"/>
      <c r="O447" s="220"/>
      <c r="P447" s="220"/>
      <c r="Q447" s="220"/>
      <c r="S447" s="227" t="str">
        <f ca="1"/>
        <v>CPAY</v>
      </c>
      <c r="AB447" s="14" t="s">
        <v>1371</v>
      </c>
    </row>
    <row r="448" spans="1:28" ht="30" customHeight="1" x14ac:dyDescent="0.55000000000000004">
      <c r="A448" s="251" t="s">
        <v>1372</v>
      </c>
      <c r="B448" s="252" t="s">
        <v>1373</v>
      </c>
      <c r="C448" s="140">
        <v>2.7091950518000001</v>
      </c>
      <c r="D448" s="248">
        <f t="shared" si="12"/>
        <v>2.7091950518000001E-2</v>
      </c>
      <c r="E448" s="69">
        <f t="shared" ca="1" si="13"/>
        <v>0.81312819274847536</v>
      </c>
      <c r="F448" s="249" t="s">
        <v>38</v>
      </c>
      <c r="G448" s="220"/>
      <c r="H448" s="220"/>
      <c r="I448" s="220"/>
      <c r="J448" s="250" t="str" cm="1">
        <f t="array" aca="1" ref="J448" ca="1">IFERROR(INDEX(_xlfn.ANCHORARRAY($S$12),ROW()-12+1),"")</f>
        <v>AKAM</v>
      </c>
      <c r="K448" s="70">
        <f ca="1">IF(Tabla16[[#This Row],[Ticker]]="",0,SUMIF(Tablaholdings[Ticker],Tabla16[[#This Row],[Ticker]],Tablaholdings[Peso Real en Portafolio])/100)</f>
        <v>1.4584870199572307E-4</v>
      </c>
      <c r="L448" s="220"/>
      <c r="M448" s="220"/>
      <c r="N448" s="220"/>
      <c r="O448" s="220"/>
      <c r="P448" s="220"/>
      <c r="Q448" s="220"/>
      <c r="S448" s="227" t="str">
        <f ca="1"/>
        <v>AKAM</v>
      </c>
      <c r="AB448" s="14" t="s">
        <v>1374</v>
      </c>
    </row>
    <row r="449" spans="1:28" ht="30" customHeight="1" x14ac:dyDescent="0.55000000000000004">
      <c r="A449" s="245" t="s">
        <v>1372</v>
      </c>
      <c r="B449" s="246" t="s">
        <v>1373</v>
      </c>
      <c r="C449" s="247">
        <v>0.16490099999999999</v>
      </c>
      <c r="D449" s="248">
        <f t="shared" si="12"/>
        <v>1.64901E-3</v>
      </c>
      <c r="E449" s="69">
        <f t="shared" ca="1" si="13"/>
        <v>6.6216780396455857E-2</v>
      </c>
      <c r="F449" s="249" t="s">
        <v>37</v>
      </c>
      <c r="G449" s="220"/>
      <c r="H449" s="220"/>
      <c r="I449" s="220"/>
      <c r="J449" s="250" t="str" cm="1">
        <f t="array" aca="1" ref="J449" ca="1">IFERROR(INDEX(_xlfn.ANCHORARRAY($S$12),ROW()-12+1),"")</f>
        <v>WTW</v>
      </c>
      <c r="K449" s="70">
        <f ca="1">IF(Tabla16[[#This Row],[Ticker]]="",0,SUMIF(Tablaholdings[Ticker],Tabla16[[#This Row],[Ticker]],Tablaholdings[Peso Real en Portafolio])/100)</f>
        <v>1.4569209564188279E-4</v>
      </c>
      <c r="L449" s="220"/>
      <c r="M449" s="220"/>
      <c r="N449" s="220"/>
      <c r="O449" s="220"/>
      <c r="P449" s="220"/>
      <c r="Q449" s="220"/>
      <c r="S449" s="227" t="str">
        <f ca="1"/>
        <v>WTW</v>
      </c>
      <c r="AB449" s="14" t="s">
        <v>1375</v>
      </c>
    </row>
    <row r="450" spans="1:28" ht="30" customHeight="1" x14ac:dyDescent="0.55000000000000004">
      <c r="A450" s="245" t="s">
        <v>1376</v>
      </c>
      <c r="B450" s="246" t="s">
        <v>1377</v>
      </c>
      <c r="C450" s="247">
        <v>2.9235000000000001E-2</v>
      </c>
      <c r="D450" s="248">
        <f t="shared" si="12"/>
        <v>2.9235000000000003E-4</v>
      </c>
      <c r="E450" s="69">
        <f t="shared" ca="1" si="13"/>
        <v>1.1739453216720257E-2</v>
      </c>
      <c r="F450" s="249" t="s">
        <v>37</v>
      </c>
      <c r="G450" s="220"/>
      <c r="H450" s="220"/>
      <c r="I450" s="220"/>
      <c r="J450" s="250" t="str" cm="1">
        <f t="array" aca="1" ref="J450" ca="1">IFERROR(INDEX(_xlfn.ANCHORARRAY($S$12),ROW()-12+1),"")</f>
        <v>OKTA</v>
      </c>
      <c r="K450" s="70">
        <f ca="1">IF(Tabla16[[#This Row],[Ticker]]="",0,SUMIF(Tablaholdings[Ticker],Tabla16[[#This Row],[Ticker]],Tablaholdings[Peso Real en Portafolio])/100)</f>
        <v>1.4551622284051895E-4</v>
      </c>
      <c r="L450" s="220"/>
      <c r="M450" s="220"/>
      <c r="N450" s="220"/>
      <c r="O450" s="220"/>
      <c r="P450" s="220"/>
      <c r="Q450" s="220"/>
      <c r="S450" s="227" t="str">
        <f ca="1"/>
        <v>OKTA</v>
      </c>
      <c r="AB450" s="14" t="s">
        <v>1378</v>
      </c>
    </row>
    <row r="451" spans="1:28" ht="30" customHeight="1" x14ac:dyDescent="0.55000000000000004">
      <c r="A451" s="245" t="s">
        <v>1379</v>
      </c>
      <c r="B451" s="246" t="s">
        <v>1380</v>
      </c>
      <c r="C451" s="247">
        <v>0.193692</v>
      </c>
      <c r="D451" s="248">
        <f t="shared" si="12"/>
        <v>1.93692E-3</v>
      </c>
      <c r="E451" s="69">
        <f t="shared" ca="1" si="13"/>
        <v>7.777794330265024E-2</v>
      </c>
      <c r="F451" s="249" t="s">
        <v>37</v>
      </c>
      <c r="G451" s="220"/>
      <c r="H451" s="220"/>
      <c r="I451" s="220"/>
      <c r="J451" s="253" t="str" cm="1">
        <f t="array" aca="1" ref="J451" ca="1">IFERROR(INDEX(_xlfn.ANCHORARRAY($S$12),ROW()-12+1),"")</f>
        <v>FE</v>
      </c>
      <c r="K451" s="70">
        <f ca="1">IF(Tabla16[[#This Row],[Ticker]]="",0,SUMIF(Tablaholdings[Ticker],Tabla16[[#This Row],[Ticker]],Tablaholdings[Peso Real en Portafolio])/100)</f>
        <v>1.443308250277326E-4</v>
      </c>
      <c r="L451" s="220"/>
      <c r="M451" s="220"/>
      <c r="N451" s="220"/>
      <c r="O451" s="220"/>
      <c r="P451" s="220"/>
      <c r="Q451" s="220"/>
      <c r="S451" s="227" t="str">
        <f ca="1"/>
        <v>FE</v>
      </c>
      <c r="AB451" s="14" t="s">
        <v>1381</v>
      </c>
    </row>
    <row r="452" spans="1:28" ht="30" customHeight="1" x14ac:dyDescent="0.55000000000000004">
      <c r="A452" s="251" t="s">
        <v>1382</v>
      </c>
      <c r="B452" s="252" t="s">
        <v>1383</v>
      </c>
      <c r="C452" s="140">
        <v>8.3603812999999999E-2</v>
      </c>
      <c r="D452" s="248">
        <f t="shared" si="12"/>
        <v>8.3603813000000002E-4</v>
      </c>
      <c r="E452" s="69">
        <f t="shared" ca="1" si="13"/>
        <v>2.4939752611346101E-2</v>
      </c>
      <c r="F452" s="249" t="s">
        <v>39</v>
      </c>
      <c r="G452" s="220"/>
      <c r="H452" s="220"/>
      <c r="I452" s="220"/>
      <c r="J452" s="250" t="str" cm="1">
        <f t="array" aca="1" ref="J452" ca="1">IFERROR(INDEX(_xlfn.ANCHORARRAY($S$12),ROW()-12+1),"")</f>
        <v>TEAM</v>
      </c>
      <c r="K452" s="70">
        <f ca="1">IF(Tabla16[[#This Row],[Ticker]]="",0,SUMIF(Tablaholdings[Ticker],Tabla16[[#This Row],[Ticker]],Tablaholdings[Peso Real en Portafolio])/100)</f>
        <v>1.4416399832589181E-4</v>
      </c>
      <c r="L452" s="220"/>
      <c r="M452" s="220"/>
      <c r="N452" s="220"/>
      <c r="O452" s="220"/>
      <c r="P452" s="220"/>
      <c r="Q452" s="220"/>
      <c r="S452" s="227" t="str">
        <f ca="1"/>
        <v>TEAM</v>
      </c>
      <c r="AB452" s="14" t="s">
        <v>1384</v>
      </c>
    </row>
    <row r="453" spans="1:28" ht="30" customHeight="1" x14ac:dyDescent="0.55000000000000004">
      <c r="A453" s="245" t="s">
        <v>1385</v>
      </c>
      <c r="B453" s="246" t="s">
        <v>1386</v>
      </c>
      <c r="C453" s="247">
        <v>0.57766099999999998</v>
      </c>
      <c r="D453" s="248">
        <f t="shared" si="12"/>
        <v>5.7766099999999997E-3</v>
      </c>
      <c r="E453" s="69">
        <f t="shared" ca="1" si="13"/>
        <v>0.2319625204249646</v>
      </c>
      <c r="F453" s="249" t="s">
        <v>37</v>
      </c>
      <c r="G453" s="220"/>
      <c r="H453" s="220"/>
      <c r="I453" s="220"/>
      <c r="J453" s="250" t="str" cm="1">
        <f t="array" aca="1" ref="J453" ca="1">IFERROR(INDEX(_xlfn.ANCHORARRAY($S$12),ROW()-12+1),"")</f>
        <v>NBHC</v>
      </c>
      <c r="K453" s="70">
        <f ca="1">IF(Tabla16[[#This Row],[Ticker]]="",0,SUMIF(Tablaholdings[Ticker],Tabla16[[#This Row],[Ticker]],Tablaholdings[Peso Real en Portafolio])/100)</f>
        <v>1.4318709368277123E-4</v>
      </c>
      <c r="L453" s="220"/>
      <c r="M453" s="220"/>
      <c r="N453" s="220"/>
      <c r="O453" s="220"/>
      <c r="P453" s="220"/>
      <c r="Q453" s="220"/>
      <c r="S453" s="227" t="str">
        <f ca="1"/>
        <v>NBHC</v>
      </c>
      <c r="AB453" s="14" t="s">
        <v>1387</v>
      </c>
    </row>
    <row r="454" spans="1:28" ht="30" customHeight="1" x14ac:dyDescent="0.55000000000000004">
      <c r="A454" s="251" t="s">
        <v>1388</v>
      </c>
      <c r="B454" s="252" t="s">
        <v>1389</v>
      </c>
      <c r="C454" s="140">
        <v>4.5514062299999998E-2</v>
      </c>
      <c r="D454" s="248">
        <f t="shared" si="12"/>
        <v>4.5514062299999999E-4</v>
      </c>
      <c r="E454" s="69">
        <f t="shared" ca="1" si="13"/>
        <v>1.3577245024690371E-2</v>
      </c>
      <c r="F454" s="249" t="s">
        <v>39</v>
      </c>
      <c r="G454" s="220"/>
      <c r="H454" s="220"/>
      <c r="I454" s="220"/>
      <c r="J454" s="250" t="str" cm="1">
        <f t="array" aca="1" ref="J454" ca="1">IFERROR(INDEX(_xlfn.ANCHORARRAY($S$12),ROW()-12+1),"")</f>
        <v>EQR</v>
      </c>
      <c r="K454" s="70">
        <f ca="1">IF(Tabla16[[#This Row],[Ticker]]="",0,SUMIF(Tablaholdings[Ticker],Tabla16[[#This Row],[Ticker]],Tablaholdings[Peso Real en Portafolio])/100)</f>
        <v>1.4244753323411471E-4</v>
      </c>
      <c r="L454" s="220"/>
      <c r="M454" s="220"/>
      <c r="N454" s="220"/>
      <c r="O454" s="220"/>
      <c r="P454" s="220"/>
      <c r="Q454" s="220"/>
      <c r="S454" s="227" t="str">
        <f ca="1"/>
        <v>EQR</v>
      </c>
      <c r="AB454" s="14" t="s">
        <v>1390</v>
      </c>
    </row>
    <row r="455" spans="1:28" ht="30" customHeight="1" x14ac:dyDescent="0.55000000000000004">
      <c r="A455" s="245" t="s">
        <v>1388</v>
      </c>
      <c r="B455" s="246" t="s">
        <v>1389</v>
      </c>
      <c r="C455" s="247">
        <v>2.0156E-2</v>
      </c>
      <c r="D455" s="248">
        <f t="shared" si="12"/>
        <v>2.0156000000000001E-4</v>
      </c>
      <c r="E455" s="69">
        <f t="shared" ca="1" si="13"/>
        <v>8.0937376102689744E-3</v>
      </c>
      <c r="F455" s="249" t="s">
        <v>37</v>
      </c>
      <c r="G455" s="220"/>
      <c r="H455" s="220"/>
      <c r="I455" s="220"/>
      <c r="J455" s="250" t="str" cm="1">
        <f t="array" aca="1" ref="J455" ca="1">IFERROR(INDEX(_xlfn.ANCHORARRAY($S$12),ROW()-12+1),"")</f>
        <v>EXE</v>
      </c>
      <c r="K455" s="70">
        <f ca="1">IF(Tabla16[[#This Row],[Ticker]]="",0,SUMIF(Tablaholdings[Ticker],Tabla16[[#This Row],[Ticker]],Tablaholdings[Peso Real en Portafolio])/100)</f>
        <v>1.4208613395602174E-4</v>
      </c>
      <c r="L455" s="220"/>
      <c r="M455" s="220"/>
      <c r="N455" s="220"/>
      <c r="O455" s="220"/>
      <c r="P455" s="220"/>
      <c r="Q455" s="220"/>
      <c r="S455" s="227" t="str">
        <f ca="1"/>
        <v>EXE</v>
      </c>
      <c r="AB455" s="14" t="s">
        <v>1391</v>
      </c>
    </row>
    <row r="456" spans="1:28" ht="30" customHeight="1" x14ac:dyDescent="0.55000000000000004">
      <c r="A456" s="245" t="s">
        <v>1392</v>
      </c>
      <c r="B456" s="246" t="s">
        <v>1393</v>
      </c>
      <c r="C456" s="247">
        <v>3.0322000000000002E-2</v>
      </c>
      <c r="D456" s="248">
        <f t="shared" si="12"/>
        <v>3.0322000000000004E-4</v>
      </c>
      <c r="E456" s="69">
        <f t="shared" ca="1" si="13"/>
        <v>1.2175943233705888E-2</v>
      </c>
      <c r="F456" s="249" t="s">
        <v>37</v>
      </c>
      <c r="G456" s="220"/>
      <c r="H456" s="220"/>
      <c r="I456" s="220"/>
      <c r="J456" s="250" t="str" cm="1">
        <f t="array" aca="1" ref="J456" ca="1">IFERROR(INDEX(_xlfn.ANCHORARRAY($S$12),ROW()-12+1),"")</f>
        <v>VRSK</v>
      </c>
      <c r="K456" s="70">
        <f ca="1">IF(Tabla16[[#This Row],[Ticker]]="",0,SUMIF(Tablaholdings[Ticker],Tabla16[[#This Row],[Ticker]],Tablaholdings[Peso Real en Portafolio])/100)</f>
        <v>1.4204196293314371E-4</v>
      </c>
      <c r="L456" s="220"/>
      <c r="M456" s="220"/>
      <c r="N456" s="220"/>
      <c r="O456" s="220"/>
      <c r="P456" s="220"/>
      <c r="Q456" s="220"/>
      <c r="S456" s="227" t="str">
        <f ca="1"/>
        <v>VRSK</v>
      </c>
      <c r="AB456" s="14" t="s">
        <v>1394</v>
      </c>
    </row>
    <row r="457" spans="1:28" ht="30" customHeight="1" x14ac:dyDescent="0.55000000000000004">
      <c r="A457" s="245" t="s">
        <v>1395</v>
      </c>
      <c r="B457" s="246" t="s">
        <v>1396</v>
      </c>
      <c r="C457" s="247">
        <v>2.4308E-2</v>
      </c>
      <c r="D457" s="248">
        <f t="shared" si="12"/>
        <v>2.4308000000000001E-4</v>
      </c>
      <c r="E457" s="69">
        <f t="shared" ca="1" si="13"/>
        <v>9.7609929465379171E-3</v>
      </c>
      <c r="F457" s="249" t="s">
        <v>37</v>
      </c>
      <c r="G457" s="220"/>
      <c r="H457" s="220"/>
      <c r="I457" s="220"/>
      <c r="J457" s="253" t="str" cm="1">
        <f t="array" aca="1" ref="J457" ca="1">IFERROR(INDEX(_xlfn.ANCHORARRAY($S$12),ROW()-12+1),"")</f>
        <v>NI</v>
      </c>
      <c r="K457" s="70">
        <f ca="1">IF(Tabla16[[#This Row],[Ticker]]="",0,SUMIF(Tablaholdings[Ticker],Tabla16[[#This Row],[Ticker]],Tablaholdings[Peso Real en Portafolio])/100)</f>
        <v>1.4183717000889102E-4</v>
      </c>
      <c r="L457" s="220"/>
      <c r="M457" s="220"/>
      <c r="N457" s="220"/>
      <c r="O457" s="220"/>
      <c r="P457" s="220"/>
      <c r="Q457" s="220"/>
      <c r="S457" s="227" t="str">
        <f ca="1"/>
        <v>NI</v>
      </c>
      <c r="AB457" s="14" t="s">
        <v>1397</v>
      </c>
    </row>
    <row r="458" spans="1:28" ht="30" customHeight="1" x14ac:dyDescent="0.55000000000000004">
      <c r="A458" s="245" t="s">
        <v>1398</v>
      </c>
      <c r="B458" s="246" t="s">
        <v>1399</v>
      </c>
      <c r="C458" s="247">
        <v>2.9765E-2</v>
      </c>
      <c r="D458" s="248">
        <f t="shared" si="12"/>
        <v>2.9765E-4</v>
      </c>
      <c r="E458" s="69">
        <f t="shared" ca="1" si="13"/>
        <v>1.1952277236041677E-2</v>
      </c>
      <c r="F458" s="249" t="s">
        <v>37</v>
      </c>
      <c r="G458" s="220"/>
      <c r="H458" s="220"/>
      <c r="I458" s="220"/>
      <c r="J458" s="253" t="str" cm="1">
        <f t="array" aca="1" ref="J458" ca="1">IFERROR(INDEX(_xlfn.ANCHORARRAY($S$12),ROW()-12+1),"")</f>
        <v>CHD</v>
      </c>
      <c r="K458" s="70">
        <f ca="1">IF(Tabla16[[#This Row],[Ticker]]="",0,SUMIF(Tablaholdings[Ticker],Tabla16[[#This Row],[Ticker]],Tablaholdings[Peso Real en Portafolio])/100)</f>
        <v>1.4120271349846113E-4</v>
      </c>
      <c r="L458" s="220"/>
      <c r="M458" s="220"/>
      <c r="N458" s="220"/>
      <c r="O458" s="220"/>
      <c r="P458" s="220"/>
      <c r="Q458" s="220"/>
      <c r="S458" s="227" t="str">
        <f ca="1"/>
        <v>CHD</v>
      </c>
      <c r="AB458" s="14" t="s">
        <v>1400</v>
      </c>
    </row>
    <row r="459" spans="1:28" ht="30" customHeight="1" x14ac:dyDescent="0.55000000000000004">
      <c r="A459" s="251" t="s">
        <v>1401</v>
      </c>
      <c r="B459" s="252" t="s">
        <v>1402</v>
      </c>
      <c r="C459" s="140">
        <v>9.4668378499999997E-2</v>
      </c>
      <c r="D459" s="248">
        <f t="shared" si="12"/>
        <v>9.4668378499999993E-4</v>
      </c>
      <c r="E459" s="69">
        <f t="shared" ca="1" si="13"/>
        <v>2.8240409799338652E-2</v>
      </c>
      <c r="F459" s="249" t="s">
        <v>39</v>
      </c>
      <c r="G459" s="220"/>
      <c r="H459" s="220"/>
      <c r="I459" s="220"/>
      <c r="J459" s="250" t="str" cm="1">
        <f t="array" aca="1" ref="J459" ca="1">IFERROR(INDEX(_xlfn.ANCHORARRAY($S$12),ROW()-12+1),"")</f>
        <v>ROIV</v>
      </c>
      <c r="K459" s="70">
        <f ca="1">IF(Tabla16[[#This Row],[Ticker]]="",0,SUMIF(Tablaholdings[Ticker],Tabla16[[#This Row],[Ticker]],Tablaholdings[Peso Real en Portafolio])/100)</f>
        <v>1.4106071342244317E-4</v>
      </c>
      <c r="L459" s="220"/>
      <c r="M459" s="220"/>
      <c r="N459" s="220"/>
      <c r="O459" s="220"/>
      <c r="P459" s="220"/>
      <c r="Q459" s="220"/>
      <c r="S459" s="227" t="str">
        <f ca="1"/>
        <v>ROIV</v>
      </c>
      <c r="AB459" s="14" t="s">
        <v>1403</v>
      </c>
    </row>
    <row r="460" spans="1:28" ht="30" customHeight="1" x14ac:dyDescent="0.55000000000000004">
      <c r="A460" s="245" t="s">
        <v>1401</v>
      </c>
      <c r="B460" s="246" t="s">
        <v>1404</v>
      </c>
      <c r="C460" s="247">
        <v>4.172E-2</v>
      </c>
      <c r="D460" s="248">
        <f t="shared" ref="D460:D523" si="14">C460/100</f>
        <v>4.172E-4</v>
      </c>
      <c r="E460" s="69">
        <f t="shared" ref="E460:E523" ca="1" si="15">C460 * VLOOKUP(F460, $A$6:$B$8, 2, FALSE)</f>
        <v>1.6752864313376744E-2</v>
      </c>
      <c r="F460" s="249" t="s">
        <v>37</v>
      </c>
      <c r="G460" s="220"/>
      <c r="H460" s="220"/>
      <c r="I460" s="220"/>
      <c r="J460" s="250" t="str" cm="1">
        <f t="array" aca="1" ref="J460" ca="1">IFERROR(INDEX(_xlfn.ANCHORARRAY($S$12),ROW()-12+1),"")</f>
        <v>DG</v>
      </c>
      <c r="K460" s="70">
        <f ca="1">IF(Tabla16[[#This Row],[Ticker]]="",0,SUMIF(Tablaholdings[Ticker],Tabla16[[#This Row],[Ticker]],Tablaholdings[Peso Real en Portafolio])/100)</f>
        <v>1.4069273896159657E-4</v>
      </c>
      <c r="L460" s="220"/>
      <c r="M460" s="220"/>
      <c r="N460" s="220"/>
      <c r="O460" s="220"/>
      <c r="P460" s="220"/>
      <c r="Q460" s="220"/>
      <c r="S460" s="227" t="str">
        <f ca="1"/>
        <v>DG</v>
      </c>
      <c r="AB460" s="14" t="s">
        <v>1405</v>
      </c>
    </row>
    <row r="461" spans="1:28" ht="30" customHeight="1" x14ac:dyDescent="0.55000000000000004">
      <c r="A461" s="251" t="s">
        <v>1406</v>
      </c>
      <c r="B461" s="252" t="s">
        <v>1407</v>
      </c>
      <c r="C461" s="140">
        <v>0.1253011108</v>
      </c>
      <c r="D461" s="248">
        <f t="shared" si="14"/>
        <v>1.2530111080000001E-3</v>
      </c>
      <c r="E461" s="69">
        <f t="shared" ca="1" si="15"/>
        <v>3.7607430925465146E-2</v>
      </c>
      <c r="F461" s="249" t="s">
        <v>38</v>
      </c>
      <c r="G461" s="220"/>
      <c r="H461" s="220"/>
      <c r="I461" s="220"/>
      <c r="J461" s="250" t="str" cm="1">
        <f t="array" aca="1" ref="J461" ca="1">IFERROR(INDEX(_xlfn.ANCHORARRAY($S$12),ROW()-12+1),"")</f>
        <v>CMS</v>
      </c>
      <c r="K461" s="70">
        <f ca="1">IF(Tabla16[[#This Row],[Ticker]]="",0,SUMIF(Tablaholdings[Ticker],Tabla16[[#This Row],[Ticker]],Tablaholdings[Peso Real en Portafolio])/100)</f>
        <v>1.4021087325747261E-4</v>
      </c>
      <c r="L461" s="220"/>
      <c r="M461" s="220"/>
      <c r="N461" s="220"/>
      <c r="O461" s="220"/>
      <c r="P461" s="220"/>
      <c r="Q461" s="220"/>
      <c r="S461" s="227" t="str">
        <f ca="1"/>
        <v>CMS</v>
      </c>
      <c r="AB461" s="14" t="s">
        <v>1408</v>
      </c>
    </row>
    <row r="462" spans="1:28" ht="30" customHeight="1" x14ac:dyDescent="0.55000000000000004">
      <c r="A462" s="251" t="s">
        <v>1409</v>
      </c>
      <c r="B462" s="252" t="s">
        <v>1410</v>
      </c>
      <c r="C462" s="140">
        <v>1.4105329150999999</v>
      </c>
      <c r="D462" s="248">
        <f t="shared" si="14"/>
        <v>1.4105329150999999E-2</v>
      </c>
      <c r="E462" s="69">
        <f t="shared" ca="1" si="15"/>
        <v>0.42077437248890615</v>
      </c>
      <c r="F462" s="249" t="s">
        <v>39</v>
      </c>
      <c r="G462" s="220"/>
      <c r="H462" s="220"/>
      <c r="I462" s="220"/>
      <c r="J462" s="250" t="str" cm="1">
        <f t="array" aca="1" ref="J462" ca="1">IFERROR(INDEX(_xlfn.ANCHORARRAY($S$12),ROW()-12+1),"")</f>
        <v>FIS</v>
      </c>
      <c r="K462" s="70">
        <f ca="1">IF(Tabla16[[#This Row],[Ticker]]="",0,SUMIF(Tablaholdings[Ticker],Tabla16[[#This Row],[Ticker]],Tablaholdings[Peso Real en Portafolio])/100)</f>
        <v>1.3854843657824491E-4</v>
      </c>
      <c r="L462" s="220"/>
      <c r="M462" s="220"/>
      <c r="N462" s="220"/>
      <c r="O462" s="220"/>
      <c r="P462" s="220"/>
      <c r="Q462" s="220"/>
      <c r="S462" s="227" t="str">
        <f ca="1"/>
        <v>FIS</v>
      </c>
      <c r="AB462" s="14" t="s">
        <v>1411</v>
      </c>
    </row>
    <row r="463" spans="1:28" ht="30" customHeight="1" x14ac:dyDescent="0.55000000000000004">
      <c r="A463" s="245" t="s">
        <v>1409</v>
      </c>
      <c r="B463" s="246" t="s">
        <v>1412</v>
      </c>
      <c r="C463" s="247">
        <v>0.62577799999999995</v>
      </c>
      <c r="D463" s="248">
        <f t="shared" si="14"/>
        <v>6.2577799999999992E-3</v>
      </c>
      <c r="E463" s="69">
        <f t="shared" ca="1" si="15"/>
        <v>0.25128413049607551</v>
      </c>
      <c r="F463" s="249" t="s">
        <v>37</v>
      </c>
      <c r="G463" s="220"/>
      <c r="H463" s="220"/>
      <c r="I463" s="220"/>
      <c r="J463" s="250" t="str" cm="1">
        <f t="array" aca="1" ref="J463" ca="1">IFERROR(INDEX(_xlfn.ANCHORARRAY($S$12),ROW()-12+1),"")</f>
        <v>CTSH</v>
      </c>
      <c r="K463" s="70">
        <f ca="1">IF(Tabla16[[#This Row],[Ticker]]="",0,SUMIF(Tablaholdings[Ticker],Tabla16[[#This Row],[Ticker]],Tablaholdings[Peso Real en Portafolio])/100)</f>
        <v>1.3821113058535813E-4</v>
      </c>
      <c r="L463" s="220"/>
      <c r="M463" s="220"/>
      <c r="N463" s="220"/>
      <c r="O463" s="220"/>
      <c r="P463" s="220"/>
      <c r="Q463" s="220"/>
      <c r="S463" s="227" t="str">
        <f ca="1"/>
        <v>CTSH</v>
      </c>
      <c r="AB463" s="14" t="s">
        <v>1413</v>
      </c>
    </row>
    <row r="464" spans="1:28" ht="30" customHeight="1" x14ac:dyDescent="0.55000000000000004">
      <c r="A464" s="245" t="s">
        <v>1414</v>
      </c>
      <c r="B464" s="246" t="s">
        <v>1415</v>
      </c>
      <c r="C464" s="247">
        <v>2.3744999999999999E-2</v>
      </c>
      <c r="D464" s="248">
        <f t="shared" si="14"/>
        <v>2.3745E-4</v>
      </c>
      <c r="E464" s="69">
        <f t="shared" ca="1" si="15"/>
        <v>9.5349176203530853E-3</v>
      </c>
      <c r="F464" s="249" t="s">
        <v>37</v>
      </c>
      <c r="G464" s="220"/>
      <c r="H464" s="220"/>
      <c r="I464" s="220"/>
      <c r="J464" s="250" t="str" cm="1">
        <f t="array" aca="1" ref="J464" ca="1">IFERROR(INDEX(_xlfn.ANCHORARRAY($S$12),ROW()-12+1),"")</f>
        <v>CHCO</v>
      </c>
      <c r="K464" s="70">
        <f ca="1">IF(Tabla16[[#This Row],[Ticker]]="",0,SUMIF(Tablaholdings[Ticker],Tabla16[[#This Row],[Ticker]],Tablaholdings[Peso Real en Portafolio])/100)</f>
        <v>1.364667224612423E-4</v>
      </c>
      <c r="L464" s="220"/>
      <c r="M464" s="220"/>
      <c r="N464" s="220"/>
      <c r="O464" s="220"/>
      <c r="P464" s="220"/>
      <c r="Q464" s="220"/>
      <c r="S464" s="227" t="str">
        <f ca="1"/>
        <v>CHCO</v>
      </c>
      <c r="AB464" s="14" t="s">
        <v>1416</v>
      </c>
    </row>
    <row r="465" spans="1:28" ht="30" customHeight="1" x14ac:dyDescent="0.55000000000000004">
      <c r="A465" s="251" t="s">
        <v>1417</v>
      </c>
      <c r="B465" s="252" t="s">
        <v>1418</v>
      </c>
      <c r="C465" s="140">
        <v>0.27415449829999999</v>
      </c>
      <c r="D465" s="248">
        <f t="shared" si="14"/>
        <v>2.7415449829999998E-3</v>
      </c>
      <c r="E465" s="69">
        <f t="shared" ca="1" si="15"/>
        <v>8.1782697696930473E-2</v>
      </c>
      <c r="F465" s="249" t="s">
        <v>39</v>
      </c>
      <c r="G465" s="220"/>
      <c r="H465" s="220"/>
      <c r="I465" s="220"/>
      <c r="J465" s="250" t="str" cm="1">
        <f t="array" aca="1" ref="J465" ca="1">IFERROR(INDEX(_xlfn.ANCHORARRAY($S$12),ROW()-12+1),"")</f>
        <v>PHM</v>
      </c>
      <c r="K465" s="70">
        <f ca="1">IF(Tabla16[[#This Row],[Ticker]]="",0,SUMIF(Tablaholdings[Ticker],Tabla16[[#This Row],[Ticker]],Tablaholdings[Peso Real en Portafolio])/100)</f>
        <v>1.3619131017557183E-4</v>
      </c>
      <c r="L465" s="220"/>
      <c r="M465" s="220"/>
      <c r="N465" s="220"/>
      <c r="O465" s="220"/>
      <c r="P465" s="220"/>
      <c r="Q465" s="220"/>
      <c r="S465" s="227" t="str">
        <f ca="1"/>
        <v>PHM</v>
      </c>
      <c r="AB465" s="14" t="s">
        <v>1419</v>
      </c>
    </row>
    <row r="466" spans="1:28" ht="30" customHeight="1" x14ac:dyDescent="0.55000000000000004">
      <c r="A466" s="245" t="s">
        <v>1417</v>
      </c>
      <c r="B466" s="246" t="s">
        <v>1420</v>
      </c>
      <c r="C466" s="247">
        <v>0.12058000000000001</v>
      </c>
      <c r="D466" s="248">
        <f t="shared" si="14"/>
        <v>1.2058000000000001E-3</v>
      </c>
      <c r="E466" s="69">
        <f t="shared" ca="1" si="15"/>
        <v>4.841947216939041E-2</v>
      </c>
      <c r="F466" s="249" t="s">
        <v>37</v>
      </c>
      <c r="G466" s="220"/>
      <c r="H466" s="220"/>
      <c r="I466" s="220"/>
      <c r="J466" s="253" t="str" cm="1">
        <f t="array" aca="1" ref="J466" ca="1">IFERROR(INDEX(_xlfn.ANCHORARRAY($S$12),ROW()-12+1),"")</f>
        <v>BLDR</v>
      </c>
      <c r="K466" s="70">
        <f ca="1">IF(Tabla16[[#This Row],[Ticker]]="",0,SUMIF(Tablaholdings[Ticker],Tabla16[[#This Row],[Ticker]],Tablaholdings[Peso Real en Portafolio])/100)</f>
        <v>1.361601312125215E-4</v>
      </c>
      <c r="L466" s="220"/>
      <c r="M466" s="220"/>
      <c r="N466" s="220"/>
      <c r="O466" s="220"/>
      <c r="P466" s="220"/>
      <c r="Q466" s="220"/>
      <c r="S466" s="227" t="str">
        <f ca="1"/>
        <v>BLDR</v>
      </c>
      <c r="AB466" s="14" t="s">
        <v>1421</v>
      </c>
    </row>
    <row r="467" spans="1:28" ht="30" customHeight="1" x14ac:dyDescent="0.55000000000000004">
      <c r="A467" s="245" t="s">
        <v>1422</v>
      </c>
      <c r="B467" s="246" t="s">
        <v>1423</v>
      </c>
      <c r="C467" s="247">
        <v>2.1502E-2</v>
      </c>
      <c r="D467" s="248">
        <f t="shared" si="14"/>
        <v>2.1502000000000001E-4</v>
      </c>
      <c r="E467" s="69">
        <f t="shared" ca="1" si="15"/>
        <v>8.6342303083946966E-3</v>
      </c>
      <c r="F467" s="249" t="s">
        <v>37</v>
      </c>
      <c r="G467" s="220"/>
      <c r="H467" s="220"/>
      <c r="I467" s="220"/>
      <c r="J467" s="253" t="str" cm="1">
        <f t="array" aca="1" ref="J467" ca="1">IFERROR(INDEX(_xlfn.ANCHORARRAY($S$12),ROW()-12+1),"")</f>
        <v>TW</v>
      </c>
      <c r="K467" s="70">
        <f ca="1">IF(Tabla16[[#This Row],[Ticker]]="",0,SUMIF(Tablaholdings[Ticker],Tabla16[[#This Row],[Ticker]],Tablaholdings[Peso Real en Portafolio])/100)</f>
        <v>1.351756187719408E-4</v>
      </c>
      <c r="L467" s="220"/>
      <c r="M467" s="220"/>
      <c r="N467" s="220"/>
      <c r="O467" s="220"/>
      <c r="P467" s="220"/>
      <c r="Q467" s="220"/>
      <c r="S467" s="227" t="str">
        <f ca="1"/>
        <v>TW</v>
      </c>
      <c r="AB467" s="14" t="s">
        <v>1424</v>
      </c>
    </row>
    <row r="468" spans="1:28" ht="30" customHeight="1" x14ac:dyDescent="0.55000000000000004">
      <c r="A468" s="251" t="s">
        <v>1425</v>
      </c>
      <c r="B468" s="252" t="s">
        <v>1426</v>
      </c>
      <c r="C468" s="140">
        <v>0.12307800269999999</v>
      </c>
      <c r="D468" s="248">
        <f t="shared" si="14"/>
        <v>1.230780027E-3</v>
      </c>
      <c r="E468" s="69">
        <f t="shared" ca="1" si="15"/>
        <v>3.6940195146174734E-2</v>
      </c>
      <c r="F468" s="249" t="s">
        <v>38</v>
      </c>
      <c r="G468" s="220"/>
      <c r="H468" s="220"/>
      <c r="I468" s="220"/>
      <c r="J468" s="253" t="str" cm="1">
        <f t="array" aca="1" ref="J468" ca="1">IFERROR(INDEX(_xlfn.ANCHORARRAY($S$12),ROW()-12+1),"")</f>
        <v>VLTO</v>
      </c>
      <c r="K468" s="70">
        <f ca="1">IF(Tabla16[[#This Row],[Ticker]]="",0,SUMIF(Tablaholdings[Ticker],Tabla16[[#This Row],[Ticker]],Tablaholdings[Peso Real en Portafolio])/100)</f>
        <v>1.3402291450701395E-4</v>
      </c>
      <c r="L468" s="220"/>
      <c r="M468" s="220"/>
      <c r="N468" s="220"/>
      <c r="O468" s="220"/>
      <c r="P468" s="220"/>
      <c r="Q468" s="220"/>
      <c r="S468" s="227" t="str">
        <f ca="1"/>
        <v>VLTO</v>
      </c>
      <c r="AB468" s="14" t="s">
        <v>1427</v>
      </c>
    </row>
    <row r="469" spans="1:28" ht="30" customHeight="1" x14ac:dyDescent="0.55000000000000004">
      <c r="A469" s="245" t="s">
        <v>1428</v>
      </c>
      <c r="B469" s="246" t="s">
        <v>1429</v>
      </c>
      <c r="C469" s="247">
        <v>0.30740200000000001</v>
      </c>
      <c r="D469" s="248">
        <f t="shared" si="14"/>
        <v>3.0740200000000002E-3</v>
      </c>
      <c r="E469" s="69">
        <f t="shared" ca="1" si="15"/>
        <v>0.12343873431593091</v>
      </c>
      <c r="F469" s="249" t="s">
        <v>37</v>
      </c>
      <c r="G469" s="220"/>
      <c r="H469" s="220"/>
      <c r="I469" s="220"/>
      <c r="J469" s="253" t="str" cm="1">
        <f t="array" aca="1" ref="J469" ca="1">IFERROR(INDEX(_xlfn.ANCHORARRAY($S$12),ROW()-12+1),"")</f>
        <v>PEN</v>
      </c>
      <c r="K469" s="70">
        <f ca="1">IF(Tabla16[[#This Row],[Ticker]]="",0,SUMIF(Tablaholdings[Ticker],Tabla16[[#This Row],[Ticker]],Tablaholdings[Peso Real en Portafolio])/100)</f>
        <v>1.334799343394348E-4</v>
      </c>
      <c r="L469" s="220"/>
      <c r="M469" s="220"/>
      <c r="N469" s="220"/>
      <c r="O469" s="220"/>
      <c r="P469" s="220"/>
      <c r="Q469" s="220"/>
      <c r="S469" s="227" t="str">
        <f ca="1"/>
        <v>PEN</v>
      </c>
      <c r="AB469" s="14" t="s">
        <v>1430</v>
      </c>
    </row>
    <row r="470" spans="1:28" ht="30" customHeight="1" x14ac:dyDescent="0.55000000000000004">
      <c r="A470" s="245" t="s">
        <v>1431</v>
      </c>
      <c r="B470" s="246" t="s">
        <v>1432</v>
      </c>
      <c r="C470" s="247">
        <v>8.1879999999999994E-2</v>
      </c>
      <c r="D470" s="248">
        <f t="shared" si="14"/>
        <v>8.1879999999999995E-4</v>
      </c>
      <c r="E470" s="69">
        <f t="shared" ca="1" si="15"/>
        <v>3.2879303211392319E-2</v>
      </c>
      <c r="F470" s="249" t="s">
        <v>37</v>
      </c>
      <c r="G470" s="220"/>
      <c r="H470" s="220"/>
      <c r="I470" s="220"/>
      <c r="J470" s="250" t="str" cm="1">
        <f t="array" aca="1" ref="J470" ca="1">IFERROR(INDEX(_xlfn.ANCHORARRAY($S$12),ROW()-12+1),"")</f>
        <v>DKNG</v>
      </c>
      <c r="K470" s="70">
        <f ca="1">IF(Tabla16[[#This Row],[Ticker]]="",0,SUMIF(Tablaholdings[Ticker],Tabla16[[#This Row],[Ticker]],Tablaholdings[Peso Real en Portafolio])/100)</f>
        <v>1.3331988302061739E-4</v>
      </c>
      <c r="L470" s="220"/>
      <c r="M470" s="220"/>
      <c r="N470" s="220"/>
      <c r="O470" s="220"/>
      <c r="P470" s="220"/>
      <c r="Q470" s="220"/>
      <c r="S470" s="227" t="str">
        <f ca="1"/>
        <v>DKNG</v>
      </c>
      <c r="AB470" s="14" t="s">
        <v>1433</v>
      </c>
    </row>
    <row r="471" spans="1:28" ht="30" customHeight="1" x14ac:dyDescent="0.55000000000000004">
      <c r="A471" s="251" t="s">
        <v>1434</v>
      </c>
      <c r="B471" s="252" t="s">
        <v>1435</v>
      </c>
      <c r="C471" s="140">
        <v>0.32371499609999999</v>
      </c>
      <c r="D471" s="248">
        <f t="shared" si="14"/>
        <v>3.237149961E-3</v>
      </c>
      <c r="E471" s="69">
        <f t="shared" ca="1" si="15"/>
        <v>9.6567030014729924E-2</v>
      </c>
      <c r="F471" s="249" t="s">
        <v>39</v>
      </c>
      <c r="G471" s="220"/>
      <c r="H471" s="220"/>
      <c r="I471" s="220"/>
      <c r="J471" s="250" t="str" cm="1">
        <f t="array" aca="1" ref="J471" ca="1">IFERROR(INDEX(_xlfn.ANCHORARRAY($S$12),ROW()-12+1),"")</f>
        <v>LH</v>
      </c>
      <c r="K471" s="70">
        <f ca="1">IF(Tabla16[[#This Row],[Ticker]]="",0,SUMIF(Tablaholdings[Ticker],Tabla16[[#This Row],[Ticker]],Tablaholdings[Peso Real en Portafolio])/100)</f>
        <v>1.3324389828534689E-4</v>
      </c>
      <c r="L471" s="220"/>
      <c r="M471" s="220"/>
      <c r="N471" s="220"/>
      <c r="O471" s="220"/>
      <c r="P471" s="220"/>
      <c r="Q471" s="220"/>
      <c r="S471" s="227" t="str">
        <f ca="1"/>
        <v>LH</v>
      </c>
      <c r="AB471" s="14" t="s">
        <v>1436</v>
      </c>
    </row>
    <row r="472" spans="1:28" ht="30" customHeight="1" x14ac:dyDescent="0.55000000000000004">
      <c r="A472" s="245" t="s">
        <v>1434</v>
      </c>
      <c r="B472" s="246" t="s">
        <v>1435</v>
      </c>
      <c r="C472" s="247">
        <v>0.14130699999999999</v>
      </c>
      <c r="D472" s="248">
        <f t="shared" si="14"/>
        <v>1.4130699999999998E-3</v>
      </c>
      <c r="E472" s="69">
        <f t="shared" ca="1" si="15"/>
        <v>5.6742497543871701E-2</v>
      </c>
      <c r="F472" s="249" t="s">
        <v>37</v>
      </c>
      <c r="G472" s="220"/>
      <c r="H472" s="220"/>
      <c r="I472" s="220"/>
      <c r="J472" s="250" t="str" cm="1">
        <f t="array" aca="1" ref="J472" ca="1">IFERROR(INDEX(_xlfn.ANCHORARRAY($S$12),ROW()-12+1),"")</f>
        <v>SW</v>
      </c>
      <c r="K472" s="70">
        <f ca="1">IF(Tabla16[[#This Row],[Ticker]]="",0,SUMIF(Tablaholdings[Ticker],Tabla16[[#This Row],[Ticker]],Tablaholdings[Peso Real en Portafolio])/100)</f>
        <v>1.3310736966917839E-4</v>
      </c>
      <c r="L472" s="220"/>
      <c r="M472" s="220"/>
      <c r="N472" s="220"/>
      <c r="O472" s="220"/>
      <c r="P472" s="220"/>
      <c r="Q472" s="220"/>
      <c r="S472" s="227" t="str">
        <f ca="1"/>
        <v>SW</v>
      </c>
      <c r="AB472" s="14" t="s">
        <v>1437</v>
      </c>
    </row>
    <row r="473" spans="1:28" ht="30" customHeight="1" x14ac:dyDescent="0.55000000000000004">
      <c r="A473" s="251" t="s">
        <v>1438</v>
      </c>
      <c r="B473" s="252" t="s">
        <v>1439</v>
      </c>
      <c r="C473" s="140">
        <v>0.23376121389999999</v>
      </c>
      <c r="D473" s="248">
        <f t="shared" si="14"/>
        <v>2.3376121390000001E-3</v>
      </c>
      <c r="E473" s="69">
        <f t="shared" ca="1" si="15"/>
        <v>6.9733025750798705E-2</v>
      </c>
      <c r="F473" s="249" t="s">
        <v>39</v>
      </c>
      <c r="G473" s="220"/>
      <c r="H473" s="220"/>
      <c r="I473" s="220"/>
      <c r="J473" s="250" t="str" cm="1">
        <f t="array" aca="1" ref="J473" ca="1">IFERROR(INDEX(_xlfn.ANCHORARRAY($S$12),ROW()-12+1),"")</f>
        <v>DGX</v>
      </c>
      <c r="K473" s="70">
        <f ca="1">IF(Tabla16[[#This Row],[Ticker]]="",0,SUMIF(Tablaholdings[Ticker],Tabla16[[#This Row],[Ticker]],Tablaholdings[Peso Real en Portafolio])/100)</f>
        <v>1.3268975272560428E-4</v>
      </c>
      <c r="L473" s="220"/>
      <c r="M473" s="220"/>
      <c r="N473" s="220"/>
      <c r="O473" s="220"/>
      <c r="P473" s="220"/>
      <c r="Q473" s="220"/>
      <c r="S473" s="227" t="str">
        <f ca="1"/>
        <v>DGX</v>
      </c>
      <c r="AB473" s="14" t="s">
        <v>1440</v>
      </c>
    </row>
    <row r="474" spans="1:28" ht="30" customHeight="1" x14ac:dyDescent="0.55000000000000004">
      <c r="A474" s="245" t="s">
        <v>1438</v>
      </c>
      <c r="B474" s="246" t="s">
        <v>1439</v>
      </c>
      <c r="C474" s="247">
        <v>0.105683</v>
      </c>
      <c r="D474" s="248">
        <f t="shared" si="14"/>
        <v>1.0568299999999999E-3</v>
      </c>
      <c r="E474" s="69">
        <f t="shared" ca="1" si="15"/>
        <v>4.2437511007444736E-2</v>
      </c>
      <c r="F474" s="249" t="s">
        <v>37</v>
      </c>
      <c r="G474" s="220"/>
      <c r="H474" s="220"/>
      <c r="I474" s="220"/>
      <c r="J474" s="250" t="str" cm="1">
        <f t="array" aca="1" ref="J474" ca="1">IFERROR(INDEX(_xlfn.ANCHORARRAY($S$12),ROW()-12+1),"")</f>
        <v>DD</v>
      </c>
      <c r="K474" s="70">
        <f ca="1">IF(Tabla16[[#This Row],[Ticker]]="",0,SUMIF(Tablaholdings[Ticker],Tabla16[[#This Row],[Ticker]],Tablaholdings[Peso Real en Portafolio])/100)</f>
        <v>1.3149311956036307E-4</v>
      </c>
      <c r="L474" s="220"/>
      <c r="M474" s="220"/>
      <c r="N474" s="220"/>
      <c r="O474" s="220"/>
      <c r="P474" s="220"/>
      <c r="Q474" s="220"/>
      <c r="S474" s="227" t="str">
        <f ca="1"/>
        <v>DD</v>
      </c>
      <c r="AB474" s="14" t="s">
        <v>1441</v>
      </c>
    </row>
    <row r="475" spans="1:28" ht="30" customHeight="1" x14ac:dyDescent="0.55000000000000004">
      <c r="A475" s="251" t="s">
        <v>1442</v>
      </c>
      <c r="B475" s="252" t="s">
        <v>1443</v>
      </c>
      <c r="C475" s="140">
        <v>8.7466444300000001E-2</v>
      </c>
      <c r="D475" s="248">
        <f t="shared" si="14"/>
        <v>8.74664443E-4</v>
      </c>
      <c r="E475" s="69">
        <f t="shared" ca="1" si="15"/>
        <v>2.6092009495261699E-2</v>
      </c>
      <c r="F475" s="249" t="s">
        <v>39</v>
      </c>
      <c r="G475" s="220"/>
      <c r="H475" s="220"/>
      <c r="I475" s="220"/>
      <c r="J475" s="250" t="str" cm="1">
        <f t="array" aca="1" ref="J475" ca="1">IFERROR(INDEX(_xlfn.ANCHORARRAY($S$12),ROW()-12+1),"")</f>
        <v>EXPD</v>
      </c>
      <c r="K475" s="70">
        <f ca="1">IF(Tabla16[[#This Row],[Ticker]]="",0,SUMIF(Tablaholdings[Ticker],Tabla16[[#This Row],[Ticker]],Tablaholdings[Peso Real en Portafolio])/100)</f>
        <v>1.3105140933158276E-4</v>
      </c>
      <c r="L475" s="220"/>
      <c r="M475" s="220"/>
      <c r="N475" s="220"/>
      <c r="O475" s="220"/>
      <c r="P475" s="220"/>
      <c r="Q475" s="220"/>
      <c r="S475" s="227" t="str">
        <f ca="1"/>
        <v>EXPD</v>
      </c>
      <c r="AB475" s="14" t="s">
        <v>1444</v>
      </c>
    </row>
    <row r="476" spans="1:28" ht="30" customHeight="1" x14ac:dyDescent="0.55000000000000004">
      <c r="A476" s="245" t="s">
        <v>1445</v>
      </c>
      <c r="B476" s="246" t="s">
        <v>1446</v>
      </c>
      <c r="C476" s="247">
        <v>0.123395</v>
      </c>
      <c r="D476" s="248">
        <f t="shared" si="14"/>
        <v>1.2339500000000002E-3</v>
      </c>
      <c r="E476" s="69">
        <f t="shared" ca="1" si="15"/>
        <v>4.9549848800314558E-2</v>
      </c>
      <c r="F476" s="249" t="s">
        <v>37</v>
      </c>
      <c r="G476" s="220"/>
      <c r="H476" s="220"/>
      <c r="I476" s="220"/>
      <c r="J476" s="250" t="str" cm="1">
        <f t="array" aca="1" ref="J476" ca="1">IFERROR(INDEX(_xlfn.ANCHORARRAY($S$12),ROW()-12+1),"")</f>
        <v>STE</v>
      </c>
      <c r="K476" s="70">
        <f ca="1">IF(Tabla16[[#This Row],[Ticker]]="",0,SUMIF(Tablaholdings[Ticker],Tabla16[[#This Row],[Ticker]],Tablaholdings[Peso Real en Portafolio])/100)</f>
        <v>1.3060166800773373E-4</v>
      </c>
      <c r="L476" s="220"/>
      <c r="M476" s="220"/>
      <c r="N476" s="220"/>
      <c r="O476" s="220"/>
      <c r="P476" s="220"/>
      <c r="Q476" s="220"/>
      <c r="S476" s="227" t="str">
        <f ca="1"/>
        <v>STE</v>
      </c>
      <c r="AB476" s="14" t="s">
        <v>1447</v>
      </c>
    </row>
    <row r="477" spans="1:28" ht="30" customHeight="1" x14ac:dyDescent="0.55000000000000004">
      <c r="A477" s="245" t="s">
        <v>1448</v>
      </c>
      <c r="B477" s="246" t="s">
        <v>1449</v>
      </c>
      <c r="C477" s="247">
        <v>0.15293200000000001</v>
      </c>
      <c r="D477" s="248">
        <f t="shared" si="14"/>
        <v>1.52932E-3</v>
      </c>
      <c r="E477" s="69">
        <f t="shared" ca="1" si="15"/>
        <v>6.1410571552572679E-2</v>
      </c>
      <c r="F477" s="249" t="s">
        <v>37</v>
      </c>
      <c r="G477" s="220"/>
      <c r="H477" s="220"/>
      <c r="I477" s="220"/>
      <c r="J477" s="250" t="str" cm="1">
        <f t="array" aca="1" ref="J477" ca="1">IFERROR(INDEX(_xlfn.ANCHORARRAY($S$12),ROW()-12+1),"")</f>
        <v>WSM</v>
      </c>
      <c r="K477" s="70">
        <f ca="1">IF(Tabla16[[#This Row],[Ticker]]="",0,SUMIF(Tablaholdings[Ticker],Tabla16[[#This Row],[Ticker]],Tablaholdings[Peso Real en Portafolio])/100)</f>
        <v>1.287545161419252E-4</v>
      </c>
      <c r="L477" s="220"/>
      <c r="M477" s="220"/>
      <c r="N477" s="220"/>
      <c r="O477" s="220"/>
      <c r="P477" s="220"/>
      <c r="Q477" s="220"/>
      <c r="S477" s="227" t="str">
        <f ca="1"/>
        <v>WSM</v>
      </c>
      <c r="AB477" s="14" t="s">
        <v>1450</v>
      </c>
    </row>
    <row r="478" spans="1:28" ht="30" customHeight="1" x14ac:dyDescent="0.55000000000000004">
      <c r="A478" s="251" t="s">
        <v>1451</v>
      </c>
      <c r="B478" s="252" t="s">
        <v>1452</v>
      </c>
      <c r="C478" s="140">
        <v>3.3074755999999997E-2</v>
      </c>
      <c r="D478" s="248">
        <f t="shared" si="14"/>
        <v>3.3074755999999998E-4</v>
      </c>
      <c r="E478" s="69">
        <f t="shared" ca="1" si="15"/>
        <v>9.8664905668911906E-3</v>
      </c>
      <c r="F478" s="249" t="s">
        <v>39</v>
      </c>
      <c r="G478" s="220"/>
      <c r="H478" s="220"/>
      <c r="I478" s="220"/>
      <c r="J478" s="250" t="str" cm="1">
        <f t="array" aca="1" ref="J478" ca="1">IFERROR(INDEX(_xlfn.ANCHORARRAY($S$12),ROW()-12+1),"")</f>
        <v>EL</v>
      </c>
      <c r="K478" s="70">
        <f ca="1">IF(Tabla16[[#This Row],[Ticker]]="",0,SUMIF(Tablaholdings[Ticker],Tabla16[[#This Row],[Ticker]],Tablaholdings[Peso Real en Portafolio])/100)</f>
        <v>1.2764220947490571E-4</v>
      </c>
      <c r="L478" s="220"/>
      <c r="M478" s="220"/>
      <c r="N478" s="220"/>
      <c r="O478" s="220"/>
      <c r="P478" s="220"/>
      <c r="Q478" s="220"/>
      <c r="S478" s="227" t="str">
        <f ca="1"/>
        <v>EL</v>
      </c>
      <c r="AB478" s="14" t="s">
        <v>1453</v>
      </c>
    </row>
    <row r="479" spans="1:28" ht="30" customHeight="1" x14ac:dyDescent="0.55000000000000004">
      <c r="A479" s="245" t="s">
        <v>1454</v>
      </c>
      <c r="B479" s="246" t="s">
        <v>1455</v>
      </c>
      <c r="C479" s="247">
        <v>6.7289000000000002E-2</v>
      </c>
      <c r="D479" s="248">
        <f t="shared" si="14"/>
        <v>6.7288999999999999E-4</v>
      </c>
      <c r="E479" s="69">
        <f t="shared" ca="1" si="15"/>
        <v>2.7020217803998266E-2</v>
      </c>
      <c r="F479" s="249" t="s">
        <v>37</v>
      </c>
      <c r="G479" s="220"/>
      <c r="H479" s="220"/>
      <c r="I479" s="220"/>
      <c r="J479" s="250" t="str" cm="1">
        <f t="array" aca="1" ref="J479" ca="1">IFERROR(INDEX(_xlfn.ANCHORARRAY($S$12),ROW()-12+1),"")</f>
        <v>FFIV</v>
      </c>
      <c r="K479" s="70">
        <f ca="1">IF(Tabla16[[#This Row],[Ticker]]="",0,SUMIF(Tablaholdings[Ticker],Tabla16[[#This Row],[Ticker]],Tablaholdings[Peso Real en Portafolio])/100)</f>
        <v>1.2731293457708762E-4</v>
      </c>
      <c r="L479" s="220"/>
      <c r="M479" s="220"/>
      <c r="N479" s="220"/>
      <c r="O479" s="220"/>
      <c r="P479" s="220"/>
      <c r="Q479" s="220"/>
      <c r="S479" s="227" t="str">
        <f ca="1"/>
        <v>FFIV</v>
      </c>
      <c r="AB479" s="14" t="s">
        <v>1456</v>
      </c>
    </row>
    <row r="480" spans="1:28" ht="30" customHeight="1" x14ac:dyDescent="0.55000000000000004">
      <c r="A480" s="251" t="s">
        <v>1457</v>
      </c>
      <c r="B480" s="252" t="s">
        <v>1458</v>
      </c>
      <c r="C480" s="140">
        <v>3.4212255375999998</v>
      </c>
      <c r="D480" s="248">
        <f t="shared" si="14"/>
        <v>3.4212255375999999E-2</v>
      </c>
      <c r="E480" s="69">
        <f t="shared" ca="1" si="15"/>
        <v>1.0205816633669995</v>
      </c>
      <c r="F480" s="249" t="s">
        <v>39</v>
      </c>
      <c r="G480" s="220"/>
      <c r="H480" s="220"/>
      <c r="I480" s="220"/>
      <c r="J480" s="253" t="str" cm="1">
        <f t="array" aca="1" ref="J480" ca="1">IFERROR(INDEX(_xlfn.ANCHORARRAY($S$12),ROW()-12+1),"")</f>
        <v>AGM</v>
      </c>
      <c r="K480" s="70">
        <f ca="1">IF(Tabla16[[#This Row],[Ticker]]="",0,SUMIF(Tablaholdings[Ticker],Tabla16[[#This Row],[Ticker]],Tablaholdings[Peso Real en Portafolio])/100)</f>
        <v>1.2726768544944159E-4</v>
      </c>
      <c r="L480" s="220"/>
      <c r="M480" s="220"/>
      <c r="N480" s="220"/>
      <c r="O480" s="220"/>
      <c r="P480" s="220"/>
      <c r="Q480" s="220"/>
      <c r="S480" s="227" t="str">
        <f ca="1"/>
        <v>AGM</v>
      </c>
      <c r="AB480" s="14" t="s">
        <v>1459</v>
      </c>
    </row>
    <row r="481" spans="1:28" ht="30" customHeight="1" x14ac:dyDescent="0.55000000000000004">
      <c r="A481" s="245" t="s">
        <v>1457</v>
      </c>
      <c r="B481" s="246" t="s">
        <v>1458</v>
      </c>
      <c r="C481" s="247">
        <v>2.112047</v>
      </c>
      <c r="D481" s="248">
        <f t="shared" si="14"/>
        <v>2.1120469999999999E-2</v>
      </c>
      <c r="E481" s="69">
        <f t="shared" ca="1" si="15"/>
        <v>0.84810251233160139</v>
      </c>
      <c r="F481" s="249" t="s">
        <v>37</v>
      </c>
      <c r="G481" s="220"/>
      <c r="H481" s="220"/>
      <c r="I481" s="220"/>
      <c r="J481" s="250" t="str" cm="1">
        <f t="array" aca="1" ref="J481" ca="1">IFERROR(INDEX(_xlfn.ANCHORARRAY($S$12),ROW()-12+1),"")</f>
        <v>SAIA</v>
      </c>
      <c r="K481" s="70">
        <f ca="1">IF(Tabla16[[#This Row],[Ticker]]="",0,SUMIF(Tablaholdings[Ticker],Tabla16[[#This Row],[Ticker]],Tablaholdings[Peso Real en Portafolio])/100)</f>
        <v>1.2639648941292994E-4</v>
      </c>
      <c r="L481" s="220"/>
      <c r="M481" s="220"/>
      <c r="N481" s="220"/>
      <c r="O481" s="220"/>
      <c r="P481" s="220"/>
      <c r="Q481" s="220"/>
      <c r="S481" s="227" t="str">
        <f ca="1"/>
        <v>SAIA</v>
      </c>
      <c r="AB481" s="14" t="s">
        <v>1460</v>
      </c>
    </row>
    <row r="482" spans="1:28" ht="30" customHeight="1" x14ac:dyDescent="0.55000000000000004">
      <c r="A482" s="245" t="s">
        <v>1461</v>
      </c>
      <c r="B482" s="246" t="s">
        <v>1462</v>
      </c>
      <c r="C482" s="247">
        <v>1.1217E-2</v>
      </c>
      <c r="D482" s="248">
        <f t="shared" si="14"/>
        <v>1.1216999999999999E-4</v>
      </c>
      <c r="E482" s="69">
        <f t="shared" ca="1" si="15"/>
        <v>4.504239669298824E-3</v>
      </c>
      <c r="F482" s="249" t="s">
        <v>37</v>
      </c>
      <c r="G482" s="220"/>
      <c r="H482" s="220"/>
      <c r="I482" s="220"/>
      <c r="J482" s="253" t="str" cm="1">
        <f t="array" aca="1" ref="J482" ca="1">IFERROR(INDEX(_xlfn.ANCHORARRAY($S$12),ROW()-12+1),"")</f>
        <v>STBA</v>
      </c>
      <c r="K482" s="70">
        <f ca="1">IF(Tabla16[[#This Row],[Ticker]]="",0,SUMIF(Tablaholdings[Ticker],Tabla16[[#This Row],[Ticker]],Tablaholdings[Peso Real en Portafolio])/100)</f>
        <v>1.2636142012875795E-4</v>
      </c>
      <c r="L482" s="220"/>
      <c r="M482" s="220"/>
      <c r="N482" s="220"/>
      <c r="O482" s="220"/>
      <c r="P482" s="220"/>
      <c r="Q482" s="220"/>
      <c r="S482" s="227" t="str">
        <f ca="1"/>
        <v>STBA</v>
      </c>
      <c r="AB482" s="14" t="s">
        <v>1463</v>
      </c>
    </row>
    <row r="483" spans="1:28" ht="30" customHeight="1" x14ac:dyDescent="0.55000000000000004">
      <c r="A483" s="245" t="s">
        <v>1464</v>
      </c>
      <c r="B483" s="246" t="s">
        <v>1465</v>
      </c>
      <c r="C483" s="247">
        <v>1.8058999999999999E-2</v>
      </c>
      <c r="D483" s="248">
        <f t="shared" si="14"/>
        <v>1.8058999999999998E-4</v>
      </c>
      <c r="E483" s="69">
        <f t="shared" ca="1" si="15"/>
        <v>7.2516772923123338E-3</v>
      </c>
      <c r="F483" s="249" t="s">
        <v>37</v>
      </c>
      <c r="G483" s="220"/>
      <c r="H483" s="220"/>
      <c r="I483" s="220"/>
      <c r="J483" s="250" t="str" cm="1">
        <f t="array" aca="1" ref="J483" ca="1">IFERROR(INDEX(_xlfn.ANCHORARRAY($S$12),ROW()-12+1),"")</f>
        <v>FDS</v>
      </c>
      <c r="K483" s="70">
        <f ca="1">IF(Tabla16[[#This Row],[Ticker]]="",0,SUMIF(Tablaholdings[Ticker],Tabla16[[#This Row],[Ticker]],Tablaholdings[Peso Real en Portafolio])/100)</f>
        <v>1.2572945580240137E-4</v>
      </c>
      <c r="L483" s="220"/>
      <c r="M483" s="220"/>
      <c r="N483" s="220"/>
      <c r="O483" s="220"/>
      <c r="P483" s="220"/>
      <c r="Q483" s="220"/>
      <c r="S483" s="227" t="str">
        <f ca="1"/>
        <v>FDS</v>
      </c>
      <c r="AB483" s="14" t="s">
        <v>1466</v>
      </c>
    </row>
    <row r="484" spans="1:28" ht="30" customHeight="1" x14ac:dyDescent="0.55000000000000004">
      <c r="A484" s="251" t="s">
        <v>1467</v>
      </c>
      <c r="B484" s="252" t="s">
        <v>1468</v>
      </c>
      <c r="C484" s="140">
        <v>8.2732335700000006E-2</v>
      </c>
      <c r="D484" s="248">
        <f t="shared" si="14"/>
        <v>8.2732335700000002E-4</v>
      </c>
      <c r="E484" s="69">
        <f t="shared" ca="1" si="15"/>
        <v>2.467978326917742E-2</v>
      </c>
      <c r="F484" s="249" t="s">
        <v>39</v>
      </c>
      <c r="G484" s="220"/>
      <c r="H484" s="220"/>
      <c r="I484" s="220"/>
      <c r="J484" s="253" t="str" cm="1">
        <f t="array" aca="1" ref="J484" ca="1">IFERROR(INDEX(_xlfn.ANCHORARRAY($S$12),ROW()-12+1),"")</f>
        <v>VTRS</v>
      </c>
      <c r="K484" s="70">
        <f ca="1">IF(Tabla16[[#This Row],[Ticker]]="",0,SUMIF(Tablaholdings[Ticker],Tabla16[[#This Row],[Ticker]],Tablaholdings[Peso Real en Portafolio])/100)</f>
        <v>1.2569065337320363E-4</v>
      </c>
      <c r="L484" s="220"/>
      <c r="M484" s="220"/>
      <c r="N484" s="220"/>
      <c r="O484" s="220"/>
      <c r="P484" s="220"/>
      <c r="Q484" s="220"/>
      <c r="S484" s="227" t="str">
        <f ca="1"/>
        <v>VTRS</v>
      </c>
      <c r="AB484" s="14" t="s">
        <v>1469</v>
      </c>
    </row>
    <row r="485" spans="1:28" ht="30" customHeight="1" x14ac:dyDescent="0.55000000000000004">
      <c r="A485" s="251" t="s">
        <v>1470</v>
      </c>
      <c r="B485" s="252" t="s">
        <v>1471</v>
      </c>
      <c r="C485" s="140">
        <v>0.12173240740000001</v>
      </c>
      <c r="D485" s="248">
        <f t="shared" si="14"/>
        <v>1.217324074E-3</v>
      </c>
      <c r="E485" s="69">
        <f t="shared" ca="1" si="15"/>
        <v>3.6313847615294742E-2</v>
      </c>
      <c r="F485" s="249" t="s">
        <v>39</v>
      </c>
      <c r="G485" s="220"/>
      <c r="H485" s="220"/>
      <c r="I485" s="220"/>
      <c r="J485" s="250" t="str" cm="1">
        <f t="array" aca="1" ref="J485" ca="1">IFERROR(INDEX(_xlfn.ANCHORARRAY($S$12),ROW()-12+1),"")</f>
        <v>IFF</v>
      </c>
      <c r="K485" s="70">
        <f ca="1">IF(Tabla16[[#This Row],[Ticker]]="",0,SUMIF(Tablaholdings[Ticker],Tabla16[[#This Row],[Ticker]],Tablaholdings[Peso Real en Portafolio])/100)</f>
        <v>1.24971870364552E-4</v>
      </c>
      <c r="L485" s="220"/>
      <c r="M485" s="220"/>
      <c r="N485" s="220"/>
      <c r="O485" s="220"/>
      <c r="P485" s="220"/>
      <c r="Q485" s="220"/>
      <c r="S485" s="227" t="str">
        <f ca="1"/>
        <v>IFF</v>
      </c>
      <c r="AB485" s="14" t="s">
        <v>1472</v>
      </c>
    </row>
    <row r="486" spans="1:28" ht="30" customHeight="1" x14ac:dyDescent="0.55000000000000004">
      <c r="A486" s="245" t="s">
        <v>1470</v>
      </c>
      <c r="B486" s="246" t="s">
        <v>1473</v>
      </c>
      <c r="C486" s="247">
        <v>5.4371000000000003E-2</v>
      </c>
      <c r="D486" s="248">
        <f t="shared" si="14"/>
        <v>5.4370999999999998E-4</v>
      </c>
      <c r="E486" s="69">
        <f t="shared" ca="1" si="15"/>
        <v>2.1832933499103716E-2</v>
      </c>
      <c r="F486" s="249" t="s">
        <v>37</v>
      </c>
      <c r="G486" s="220"/>
      <c r="H486" s="220"/>
      <c r="I486" s="220"/>
      <c r="J486" s="253" t="str" cm="1">
        <f t="array" aca="1" ref="J486" ca="1">IFERROR(INDEX(_xlfn.ANCHORARRAY($S$12),ROW()-12+1),"")</f>
        <v>KHC</v>
      </c>
      <c r="K486" s="70">
        <f ca="1">IF(Tabla16[[#This Row],[Ticker]]="",0,SUMIF(Tablaholdings[Ticker],Tabla16[[#This Row],[Ticker]],Tablaholdings[Peso Real en Portafolio])/100)</f>
        <v>1.2427316509357224E-4</v>
      </c>
      <c r="L486" s="220"/>
      <c r="M486" s="220"/>
      <c r="N486" s="220"/>
      <c r="O486" s="220"/>
      <c r="P486" s="220"/>
      <c r="Q486" s="220"/>
      <c r="S486" s="227" t="str">
        <f ca="1"/>
        <v>KHC</v>
      </c>
      <c r="AB486" s="14" t="s">
        <v>1474</v>
      </c>
    </row>
    <row r="487" spans="1:28" ht="30" customHeight="1" x14ac:dyDescent="0.55000000000000004">
      <c r="A487" s="245" t="s">
        <v>1475</v>
      </c>
      <c r="B487" s="246" t="s">
        <v>1476</v>
      </c>
      <c r="C487" s="247">
        <v>0.121388</v>
      </c>
      <c r="D487" s="248">
        <f t="shared" si="14"/>
        <v>1.2138799999999999E-3</v>
      </c>
      <c r="E487" s="69">
        <f t="shared" ca="1" si="15"/>
        <v>4.8743928410167212E-2</v>
      </c>
      <c r="F487" s="249" t="s">
        <v>37</v>
      </c>
      <c r="G487" s="220"/>
      <c r="H487" s="220"/>
      <c r="I487" s="220"/>
      <c r="J487" s="250" t="str" cm="1">
        <f t="array" aca="1" ref="J487" ca="1">IFERROR(INDEX(_xlfn.ANCHORARRAY($S$12),ROW()-12+1),"")</f>
        <v>TXRH</v>
      </c>
      <c r="K487" s="70">
        <f ca="1">IF(Tabla16[[#This Row],[Ticker]]="",0,SUMIF(Tablaholdings[Ticker],Tabla16[[#This Row],[Ticker]],Tablaholdings[Peso Real en Portafolio])/100)</f>
        <v>1.2425152986214217E-4</v>
      </c>
      <c r="L487" s="220"/>
      <c r="M487" s="220"/>
      <c r="N487" s="220"/>
      <c r="O487" s="220"/>
      <c r="P487" s="220"/>
      <c r="Q487" s="220"/>
      <c r="S487" s="227" t="str">
        <f ca="1"/>
        <v>TXRH</v>
      </c>
      <c r="AB487" s="14" t="s">
        <v>1477</v>
      </c>
    </row>
    <row r="488" spans="1:28" ht="30" customHeight="1" x14ac:dyDescent="0.55000000000000004">
      <c r="A488" s="245" t="s">
        <v>1478</v>
      </c>
      <c r="B488" s="246" t="s">
        <v>1479</v>
      </c>
      <c r="C488" s="247">
        <v>9.5907000000000006E-2</v>
      </c>
      <c r="D488" s="248">
        <f t="shared" si="14"/>
        <v>9.5907000000000002E-4</v>
      </c>
      <c r="E488" s="69">
        <f t="shared" ca="1" si="15"/>
        <v>3.8511911737848119E-2</v>
      </c>
      <c r="F488" s="249" t="s">
        <v>37</v>
      </c>
      <c r="G488" s="220"/>
      <c r="H488" s="220"/>
      <c r="I488" s="220"/>
      <c r="J488" s="250" t="str" cm="1">
        <f t="array" aca="1" ref="J488" ca="1">IFERROR(INDEX(_xlfn.ANCHORARRAY($S$12),ROW()-12+1),"")</f>
        <v>CF</v>
      </c>
      <c r="K488" s="70">
        <f ca="1">IF(Tabla16[[#This Row],[Ticker]]="",0,SUMIF(Tablaholdings[Ticker],Tabla16[[#This Row],[Ticker]],Tablaholdings[Peso Real en Portafolio])/100)</f>
        <v>1.2332951142299614E-4</v>
      </c>
      <c r="L488" s="220"/>
      <c r="M488" s="220"/>
      <c r="N488" s="220"/>
      <c r="O488" s="220"/>
      <c r="P488" s="220"/>
      <c r="Q488" s="220"/>
      <c r="S488" s="227" t="str">
        <f ca="1"/>
        <v>CF</v>
      </c>
      <c r="AB488" s="14" t="s">
        <v>1480</v>
      </c>
    </row>
    <row r="489" spans="1:28" ht="30" customHeight="1" x14ac:dyDescent="0.55000000000000004">
      <c r="A489" s="251" t="s">
        <v>1481</v>
      </c>
      <c r="B489" s="252" t="s">
        <v>1482</v>
      </c>
      <c r="C489" s="140">
        <v>3.1255483561999999</v>
      </c>
      <c r="D489" s="248">
        <f t="shared" si="14"/>
        <v>3.1255483562000003E-2</v>
      </c>
      <c r="E489" s="69">
        <f t="shared" ca="1" si="15"/>
        <v>0.93809099663618167</v>
      </c>
      <c r="F489" s="249" t="s">
        <v>38</v>
      </c>
      <c r="G489" s="220"/>
      <c r="H489" s="220"/>
      <c r="I489" s="220"/>
      <c r="J489" s="250" t="str" cm="1">
        <f t="array" aca="1" ref="J489" ca="1">IFERROR(INDEX(_xlfn.ANCHORARRAY($S$12),ROW()-12+1),"")</f>
        <v>IPAR</v>
      </c>
      <c r="K489" s="70">
        <f ca="1">IF(Tabla16[[#This Row],[Ticker]]="",0,SUMIF(Tablaholdings[Ticker],Tabla16[[#This Row],[Ticker]],Tablaholdings[Peso Real en Portafolio])/100)</f>
        <v>1.2320728464576376E-4</v>
      </c>
      <c r="L489" s="220"/>
      <c r="M489" s="220"/>
      <c r="N489" s="220"/>
      <c r="O489" s="220"/>
      <c r="P489" s="220"/>
      <c r="Q489" s="220"/>
      <c r="S489" s="227" t="str">
        <f ca="1"/>
        <v>IPAR</v>
      </c>
      <c r="AB489" s="14" t="s">
        <v>1483</v>
      </c>
    </row>
    <row r="490" spans="1:28" ht="30" customHeight="1" x14ac:dyDescent="0.55000000000000004">
      <c r="A490" s="245" t="s">
        <v>1481</v>
      </c>
      <c r="B490" s="246" t="s">
        <v>1482</v>
      </c>
      <c r="C490" s="247">
        <v>0.187942</v>
      </c>
      <c r="D490" s="248">
        <f t="shared" si="14"/>
        <v>1.8794199999999999E-3</v>
      </c>
      <c r="E490" s="69">
        <f t="shared" ca="1" si="15"/>
        <v>7.546900347038954E-2</v>
      </c>
      <c r="F490" s="249" t="s">
        <v>37</v>
      </c>
      <c r="G490" s="220"/>
      <c r="H490" s="220"/>
      <c r="I490" s="220"/>
      <c r="J490" s="250" t="str" cm="1">
        <f t="array" aca="1" ref="J490" ca="1">IFERROR(INDEX(_xlfn.ANCHORARRAY($S$12),ROW()-12+1),"")</f>
        <v>HPQ</v>
      </c>
      <c r="K490" s="70">
        <f ca="1">IF(Tabla16[[#This Row],[Ticker]]="",0,SUMIF(Tablaholdings[Ticker],Tabla16[[#This Row],[Ticker]],Tablaholdings[Peso Real en Portafolio])/100)</f>
        <v>1.2262277505694765E-4</v>
      </c>
      <c r="L490" s="220"/>
      <c r="M490" s="220"/>
      <c r="N490" s="220"/>
      <c r="O490" s="220"/>
      <c r="P490" s="220"/>
      <c r="Q490" s="220"/>
      <c r="S490" s="227" t="str">
        <f ca="1"/>
        <v>HPQ</v>
      </c>
      <c r="AB490" s="14" t="s">
        <v>1484</v>
      </c>
    </row>
    <row r="491" spans="1:28" ht="30" customHeight="1" x14ac:dyDescent="0.55000000000000004">
      <c r="A491" s="245" t="s">
        <v>1485</v>
      </c>
      <c r="B491" s="246" t="s">
        <v>1486</v>
      </c>
      <c r="C491" s="247">
        <v>1.1388000000000001E-2</v>
      </c>
      <c r="D491" s="248">
        <f t="shared" si="14"/>
        <v>1.1388E-4</v>
      </c>
      <c r="E491" s="69">
        <f t="shared" ca="1" si="15"/>
        <v>4.5729055321364898E-3</v>
      </c>
      <c r="F491" s="249" t="s">
        <v>37</v>
      </c>
      <c r="G491" s="220"/>
      <c r="H491" s="220"/>
      <c r="I491" s="220"/>
      <c r="J491" s="250" t="str" cm="1">
        <f t="array" aca="1" ref="J491" ca="1">IFERROR(INDEX(_xlfn.ANCHORARRAY($S$12),ROW()-12+1),"")</f>
        <v>PKG</v>
      </c>
      <c r="K491" s="70">
        <f ca="1">IF(Tabla16[[#This Row],[Ticker]]="",0,SUMIF(Tablaholdings[Ticker],Tabla16[[#This Row],[Ticker]],Tablaholdings[Peso Real en Portafolio])/100)</f>
        <v>1.2231759344433579E-4</v>
      </c>
      <c r="L491" s="220"/>
      <c r="M491" s="220"/>
      <c r="N491" s="220"/>
      <c r="O491" s="220"/>
      <c r="P491" s="220"/>
      <c r="Q491" s="220"/>
      <c r="S491" s="227" t="str">
        <f ca="1"/>
        <v>PKG</v>
      </c>
      <c r="AB491" s="14" t="s">
        <v>1487</v>
      </c>
    </row>
    <row r="492" spans="1:28" ht="30" customHeight="1" x14ac:dyDescent="0.55000000000000004">
      <c r="A492" s="245" t="s">
        <v>1488</v>
      </c>
      <c r="B492" s="246" t="s">
        <v>1489</v>
      </c>
      <c r="C492" s="247">
        <v>0.115026</v>
      </c>
      <c r="D492" s="248">
        <f t="shared" si="14"/>
        <v>1.15026E-3</v>
      </c>
      <c r="E492" s="69">
        <f t="shared" ca="1" si="15"/>
        <v>4.618923706880329E-2</v>
      </c>
      <c r="F492" s="249" t="s">
        <v>37</v>
      </c>
      <c r="G492" s="220"/>
      <c r="H492" s="220"/>
      <c r="I492" s="220"/>
      <c r="J492" s="250" t="str" cm="1">
        <f t="array" aca="1" ref="J492" ca="1">IFERROR(INDEX(_xlfn.ANCHORARRAY($S$12),ROW()-12+1),"")</f>
        <v>WRB</v>
      </c>
      <c r="K492" s="70">
        <f ca="1">IF(Tabla16[[#This Row],[Ticker]]="",0,SUMIF(Tablaholdings[Ticker],Tabla16[[#This Row],[Ticker]],Tablaholdings[Peso Real en Portafolio])/100)</f>
        <v>1.22221220303511E-4</v>
      </c>
      <c r="L492" s="220"/>
      <c r="M492" s="220"/>
      <c r="N492" s="220"/>
      <c r="O492" s="220"/>
      <c r="P492" s="220"/>
      <c r="Q492" s="220"/>
      <c r="S492" s="227" t="str">
        <f ca="1"/>
        <v>WRB</v>
      </c>
      <c r="AB492" s="14" t="s">
        <v>1490</v>
      </c>
    </row>
    <row r="493" spans="1:28" ht="30" customHeight="1" x14ac:dyDescent="0.55000000000000004">
      <c r="A493" s="251" t="s">
        <v>1491</v>
      </c>
      <c r="B493" s="252" t="s">
        <v>1492</v>
      </c>
      <c r="C493" s="140">
        <v>0.27941124789999999</v>
      </c>
      <c r="D493" s="248">
        <f t="shared" si="14"/>
        <v>2.7941124789999999E-3</v>
      </c>
      <c r="E493" s="69">
        <f t="shared" ca="1" si="15"/>
        <v>8.3350832329304139E-2</v>
      </c>
      <c r="F493" s="249" t="s">
        <v>39</v>
      </c>
      <c r="G493" s="220"/>
      <c r="H493" s="220"/>
      <c r="I493" s="220"/>
      <c r="J493" s="253" t="str" cm="1">
        <f t="array" aca="1" ref="J493" ca="1">IFERROR(INDEX(_xlfn.ANCHORARRAY($S$12),ROW()-12+1),"")</f>
        <v>KEY</v>
      </c>
      <c r="K493" s="70">
        <f ca="1">IF(Tabla16[[#This Row],[Ticker]]="",0,SUMIF(Tablaholdings[Ticker],Tabla16[[#This Row],[Ticker]],Tablaholdings[Peso Real en Portafolio])/100)</f>
        <v>1.2215295599542677E-4</v>
      </c>
      <c r="L493" s="220"/>
      <c r="M493" s="220"/>
      <c r="N493" s="220"/>
      <c r="O493" s="220"/>
      <c r="P493" s="220"/>
      <c r="Q493" s="220"/>
      <c r="S493" s="227" t="str">
        <f ca="1"/>
        <v>KEY</v>
      </c>
      <c r="AB493" s="14" t="s">
        <v>1493</v>
      </c>
    </row>
    <row r="494" spans="1:28" ht="30" customHeight="1" x14ac:dyDescent="0.55000000000000004">
      <c r="A494" s="245" t="s">
        <v>1491</v>
      </c>
      <c r="B494" s="246" t="s">
        <v>1492</v>
      </c>
      <c r="C494" s="247">
        <v>0.12573100000000001</v>
      </c>
      <c r="D494" s="248">
        <f t="shared" si="14"/>
        <v>1.2573100000000002E-3</v>
      </c>
      <c r="E494" s="69">
        <f t="shared" ca="1" si="15"/>
        <v>5.0487880704342555E-2</v>
      </c>
      <c r="F494" s="249" t="s">
        <v>37</v>
      </c>
      <c r="G494" s="220"/>
      <c r="H494" s="220"/>
      <c r="I494" s="220"/>
      <c r="J494" s="250" t="str" cm="1">
        <f t="array" aca="1" ref="J494" ca="1">IFERROR(INDEX(_xlfn.ANCHORARRAY($S$12),ROW()-12+1),"")</f>
        <v>GABC</v>
      </c>
      <c r="K494" s="70">
        <f ca="1">IF(Tabla16[[#This Row],[Ticker]]="",0,SUMIF(Tablaholdings[Ticker],Tabla16[[#This Row],[Ticker]],Tablaholdings[Peso Real en Portafolio])/100)</f>
        <v>1.2176550806247426E-4</v>
      </c>
      <c r="L494" s="220"/>
      <c r="M494" s="220"/>
      <c r="N494" s="220"/>
      <c r="O494" s="220"/>
      <c r="P494" s="220"/>
      <c r="Q494" s="220"/>
      <c r="S494" s="227" t="str">
        <f ca="1"/>
        <v>GABC</v>
      </c>
      <c r="AB494" s="14" t="s">
        <v>1494</v>
      </c>
    </row>
    <row r="495" spans="1:28" ht="30" customHeight="1" x14ac:dyDescent="0.55000000000000004">
      <c r="A495" s="251" t="s">
        <v>1495</v>
      </c>
      <c r="B495" s="252" t="s">
        <v>1496</v>
      </c>
      <c r="C495" s="140">
        <v>3.7679398038</v>
      </c>
      <c r="D495" s="248">
        <f t="shared" si="14"/>
        <v>3.7679398038000002E-2</v>
      </c>
      <c r="E495" s="69">
        <f t="shared" ca="1" si="15"/>
        <v>1.130896087017923</v>
      </c>
      <c r="F495" s="249" t="s">
        <v>38</v>
      </c>
      <c r="G495" s="220"/>
      <c r="H495" s="220"/>
      <c r="I495" s="220"/>
      <c r="J495" s="250" t="str" cm="1">
        <f t="array" aca="1" ref="J495" ca="1">IFERROR(INDEX(_xlfn.ANCHORARRAY($S$12),ROW()-12+1),"")</f>
        <v>LUV</v>
      </c>
      <c r="K495" s="70">
        <f ca="1">IF(Tabla16[[#This Row],[Ticker]]="",0,SUMIF(Tablaholdings[Ticker],Tabla16[[#This Row],[Ticker]],Tablaholdings[Peso Real en Portafolio])/100)</f>
        <v>1.2175943233705888E-4</v>
      </c>
      <c r="L495" s="220"/>
      <c r="M495" s="220"/>
      <c r="N495" s="220"/>
      <c r="O495" s="220"/>
      <c r="P495" s="220"/>
      <c r="Q495" s="220"/>
      <c r="S495" s="227" t="str">
        <f ca="1"/>
        <v>LUV</v>
      </c>
      <c r="AB495" s="14" t="s">
        <v>1497</v>
      </c>
    </row>
    <row r="496" spans="1:28" ht="30" customHeight="1" x14ac:dyDescent="0.55000000000000004">
      <c r="A496" s="245" t="s">
        <v>1495</v>
      </c>
      <c r="B496" s="246" t="s">
        <v>1498</v>
      </c>
      <c r="C496" s="247">
        <v>0.44086799999999998</v>
      </c>
      <c r="D496" s="248">
        <f t="shared" si="14"/>
        <v>4.4086799999999999E-3</v>
      </c>
      <c r="E496" s="69">
        <f t="shared" ca="1" si="15"/>
        <v>0.1770326410381059</v>
      </c>
      <c r="F496" s="249" t="s">
        <v>37</v>
      </c>
      <c r="G496" s="220"/>
      <c r="H496" s="220"/>
      <c r="I496" s="220"/>
      <c r="J496" s="253" t="str" cm="1">
        <f t="array" aca="1" ref="J496" ca="1">IFERROR(INDEX(_xlfn.ANCHORARRAY($S$12),ROW()-12+1),"")</f>
        <v>CHRW</v>
      </c>
      <c r="K496" s="70">
        <f ca="1">IF(Tabla16[[#This Row],[Ticker]]="",0,SUMIF(Tablaholdings[Ticker],Tabla16[[#This Row],[Ticker]],Tablaholdings[Peso Real en Portafolio])/100)</f>
        <v>1.2151448393746251E-4</v>
      </c>
      <c r="L496" s="220"/>
      <c r="M496" s="220"/>
      <c r="N496" s="220"/>
      <c r="O496" s="220"/>
      <c r="P496" s="220"/>
      <c r="Q496" s="220"/>
      <c r="S496" s="227" t="str">
        <f ca="1"/>
        <v>CHRW</v>
      </c>
      <c r="AB496" s="14" t="s">
        <v>1499</v>
      </c>
    </row>
    <row r="497" spans="1:28" ht="30" customHeight="1" x14ac:dyDescent="0.55000000000000004">
      <c r="A497" s="251" t="s">
        <v>1500</v>
      </c>
      <c r="B497" s="252" t="s">
        <v>1501</v>
      </c>
      <c r="C497" s="140">
        <v>6.1628593500000002E-2</v>
      </c>
      <c r="D497" s="248">
        <f t="shared" si="14"/>
        <v>6.16285935E-4</v>
      </c>
      <c r="E497" s="69">
        <f t="shared" ca="1" si="15"/>
        <v>1.8384351389274703E-2</v>
      </c>
      <c r="F497" s="249" t="s">
        <v>39</v>
      </c>
      <c r="G497" s="220"/>
      <c r="H497" s="220"/>
      <c r="I497" s="220"/>
      <c r="J497" s="253" t="str" cm="1">
        <f t="array" aca="1" ref="J497" ca="1">IFERROR(INDEX(_xlfn.ANCHORARRAY($S$12),ROW()-12+1),"")</f>
        <v>LYB</v>
      </c>
      <c r="K497" s="70">
        <f ca="1">IF(Tabla16[[#This Row],[Ticker]]="",0,SUMIF(Tablaholdings[Ticker],Tabla16[[#This Row],[Ticker]],Tablaholdings[Peso Real en Portafolio])/100)</f>
        <v>1.1952277236041676E-4</v>
      </c>
      <c r="L497" s="220"/>
      <c r="M497" s="220"/>
      <c r="N497" s="220"/>
      <c r="O497" s="220"/>
      <c r="P497" s="220"/>
      <c r="Q497" s="220"/>
      <c r="S497" s="227" t="str">
        <f ca="1"/>
        <v>LYB</v>
      </c>
      <c r="AB497" s="14" t="s">
        <v>1502</v>
      </c>
    </row>
    <row r="498" spans="1:28" ht="30" customHeight="1" x14ac:dyDescent="0.55000000000000004">
      <c r="A498" s="245" t="s">
        <v>1500</v>
      </c>
      <c r="B498" s="246" t="s">
        <v>1501</v>
      </c>
      <c r="C498" s="247">
        <v>2.7549000000000001E-2</v>
      </c>
      <c r="D498" s="248">
        <f t="shared" si="14"/>
        <v>2.7548999999999998E-4</v>
      </c>
      <c r="E498" s="69">
        <f t="shared" ca="1" si="15"/>
        <v>1.1062431902426076E-2</v>
      </c>
      <c r="F498" s="249" t="s">
        <v>37</v>
      </c>
      <c r="G498" s="220"/>
      <c r="H498" s="220"/>
      <c r="I498" s="220"/>
      <c r="J498" s="250" t="str" cm="1">
        <f t="array" aca="1" ref="J498" ca="1">IFERROR(INDEX(_xlfn.ANCHORARRAY($S$12),ROW()-12+1),"")</f>
        <v>BLD</v>
      </c>
      <c r="K498" s="70">
        <f ca="1">IF(Tabla16[[#This Row],[Ticker]]="",0,SUMIF(Tablaholdings[Ticker],Tabla16[[#This Row],[Ticker]],Tablaholdings[Peso Real en Portafolio])/100)</f>
        <v>1.1951437368796402E-4</v>
      </c>
      <c r="L498" s="220"/>
      <c r="M498" s="220"/>
      <c r="N498" s="220"/>
      <c r="O498" s="220"/>
      <c r="P498" s="220"/>
      <c r="Q498" s="220"/>
      <c r="S498" s="227" t="str">
        <f ca="1"/>
        <v>BLD</v>
      </c>
      <c r="AB498" s="14" t="s">
        <v>1503</v>
      </c>
    </row>
    <row r="499" spans="1:28" ht="30" customHeight="1" x14ac:dyDescent="0.55000000000000004">
      <c r="A499" s="245" t="s">
        <v>1504</v>
      </c>
      <c r="B499" s="246" t="s">
        <v>1505</v>
      </c>
      <c r="C499" s="247">
        <v>0.12070500000000001</v>
      </c>
      <c r="D499" s="248">
        <f t="shared" si="14"/>
        <v>1.2070500000000001E-3</v>
      </c>
      <c r="E499" s="69">
        <f t="shared" ca="1" si="15"/>
        <v>4.8469666513569987E-2</v>
      </c>
      <c r="F499" s="249" t="s">
        <v>37</v>
      </c>
      <c r="G499" s="220"/>
      <c r="H499" s="220"/>
      <c r="I499" s="220"/>
      <c r="J499" s="250" t="str" cm="1">
        <f t="array" aca="1" ref="J499" ca="1">IFERROR(INDEX(_xlfn.ANCHORARRAY($S$12),ROW()-12+1),"")</f>
        <v>EVRG</v>
      </c>
      <c r="K499" s="70">
        <f ca="1">IF(Tabla16[[#This Row],[Ticker]]="",0,SUMIF(Tablaholdings[Ticker],Tabla16[[#This Row],[Ticker]],Tablaholdings[Peso Real en Portafolio])/100)</f>
        <v>1.1942639921959197E-4</v>
      </c>
      <c r="L499" s="220"/>
      <c r="M499" s="220"/>
      <c r="N499" s="220"/>
      <c r="O499" s="220"/>
      <c r="P499" s="220"/>
      <c r="Q499" s="220"/>
      <c r="S499" s="227" t="str">
        <f ca="1"/>
        <v>EVRG</v>
      </c>
      <c r="AB499" s="14" t="s">
        <v>1506</v>
      </c>
    </row>
    <row r="500" spans="1:28" ht="30" customHeight="1" x14ac:dyDescent="0.55000000000000004">
      <c r="A500" s="245" t="s">
        <v>1507</v>
      </c>
      <c r="B500" s="246" t="s">
        <v>1508</v>
      </c>
      <c r="C500" s="247">
        <v>0.36521900000000002</v>
      </c>
      <c r="D500" s="248">
        <f t="shared" si="14"/>
        <v>3.65219E-3</v>
      </c>
      <c r="E500" s="69">
        <f t="shared" ca="1" si="15"/>
        <v>0.1466554254953773</v>
      </c>
      <c r="F500" s="249" t="s">
        <v>37</v>
      </c>
      <c r="G500" s="220"/>
      <c r="H500" s="220"/>
      <c r="I500" s="220"/>
      <c r="J500" s="250" t="str" cm="1">
        <f t="array" aca="1" ref="J500" ca="1">IFERROR(INDEX(_xlfn.ANCHORARRAY($S$12),ROW()-12+1),"")</f>
        <v>FLO</v>
      </c>
      <c r="K500" s="70">
        <f ca="1">IF(Tabla16[[#This Row],[Ticker]]="",0,SUMIF(Tablaholdings[Ticker],Tabla16[[#This Row],[Ticker]],Tablaholdings[Peso Real en Portafolio])/100)</f>
        <v>1.1881627603593247E-4</v>
      </c>
      <c r="L500" s="220"/>
      <c r="M500" s="220"/>
      <c r="N500" s="220"/>
      <c r="O500" s="220"/>
      <c r="P500" s="220"/>
      <c r="Q500" s="220"/>
      <c r="S500" s="227" t="str">
        <f ca="1"/>
        <v>FLO</v>
      </c>
      <c r="AB500" s="14" t="s">
        <v>1509</v>
      </c>
    </row>
    <row r="501" spans="1:28" ht="30" customHeight="1" x14ac:dyDescent="0.55000000000000004">
      <c r="A501" s="251" t="s">
        <v>1510</v>
      </c>
      <c r="B501" s="252" t="s">
        <v>1511</v>
      </c>
      <c r="C501" s="140">
        <v>0.14909449829999999</v>
      </c>
      <c r="D501" s="248">
        <f t="shared" si="14"/>
        <v>1.4909449829999999E-3</v>
      </c>
      <c r="E501" s="69">
        <f t="shared" ca="1" si="15"/>
        <v>4.4476199946942158E-2</v>
      </c>
      <c r="F501" s="249" t="s">
        <v>39</v>
      </c>
      <c r="G501" s="220"/>
      <c r="H501" s="220"/>
      <c r="I501" s="220"/>
      <c r="J501" s="253" t="str" cm="1">
        <f t="array" aca="1" ref="J501" ca="1">IFERROR(INDEX(_xlfn.ANCHORARRAY($S$12),ROW()-12+1),"")</f>
        <v>TSN</v>
      </c>
      <c r="K501" s="70">
        <f ca="1">IF(Tabla16[[#This Row],[Ticker]]="",0,SUMIF(Tablaholdings[Ticker],Tabla16[[#This Row],[Ticker]],Tablaholdings[Peso Real en Portafolio])/100)</f>
        <v>1.1844660562120656E-4</v>
      </c>
      <c r="L501" s="220"/>
      <c r="M501" s="220"/>
      <c r="N501" s="220"/>
      <c r="O501" s="220"/>
      <c r="P501" s="220"/>
      <c r="Q501" s="220"/>
      <c r="S501" s="227" t="str">
        <f ca="1"/>
        <v>TSN</v>
      </c>
      <c r="AB501" s="14" t="s">
        <v>1512</v>
      </c>
    </row>
    <row r="502" spans="1:28" ht="30" customHeight="1" x14ac:dyDescent="0.55000000000000004">
      <c r="A502" s="245" t="s">
        <v>1510</v>
      </c>
      <c r="B502" s="246" t="s">
        <v>1511</v>
      </c>
      <c r="C502" s="247">
        <v>6.5579999999999999E-2</v>
      </c>
      <c r="D502" s="248">
        <f t="shared" si="14"/>
        <v>6.558E-4</v>
      </c>
      <c r="E502" s="69">
        <f t="shared" ca="1" si="15"/>
        <v>2.6333960730375042E-2</v>
      </c>
      <c r="F502" s="249" t="s">
        <v>37</v>
      </c>
      <c r="G502" s="220"/>
      <c r="H502" s="220"/>
      <c r="I502" s="220"/>
      <c r="J502" s="253" t="str" cm="1">
        <f t="array" aca="1" ref="J502" ca="1">IFERROR(INDEX(_xlfn.ANCHORARRAY($S$12),ROW()-12+1),"")</f>
        <v>PINS</v>
      </c>
      <c r="K502" s="70">
        <f ca="1">IF(Tabla16[[#This Row],[Ticker]]="",0,SUMIF(Tablaholdings[Ticker],Tabla16[[#This Row],[Ticker]],Tablaholdings[Peso Real en Portafolio])/100)</f>
        <v>1.1746621921877184E-4</v>
      </c>
      <c r="L502" s="220"/>
      <c r="M502" s="220"/>
      <c r="N502" s="220"/>
      <c r="O502" s="220"/>
      <c r="P502" s="220"/>
      <c r="Q502" s="220"/>
      <c r="S502" s="227" t="str">
        <f ca="1"/>
        <v>PINS</v>
      </c>
      <c r="AB502" s="14" t="s">
        <v>1513</v>
      </c>
    </row>
    <row r="503" spans="1:28" ht="30" customHeight="1" x14ac:dyDescent="0.55000000000000004">
      <c r="A503" s="251" t="s">
        <v>1514</v>
      </c>
      <c r="B503" s="252" t="s">
        <v>1515</v>
      </c>
      <c r="C503" s="140">
        <v>6.6071602190999998</v>
      </c>
      <c r="D503" s="248">
        <f t="shared" si="14"/>
        <v>6.6071602191000001E-2</v>
      </c>
      <c r="E503" s="69">
        <f t="shared" ca="1" si="15"/>
        <v>1.9709739952636049</v>
      </c>
      <c r="F503" s="249" t="s">
        <v>39</v>
      </c>
      <c r="G503" s="220"/>
      <c r="H503" s="220"/>
      <c r="I503" s="220"/>
      <c r="J503" s="253" t="str" cm="1">
        <f t="array" aca="1" ref="J503" ca="1">IFERROR(INDEX(_xlfn.ANCHORARRAY($S$12),ROW()-12+1),"")</f>
        <v>DT</v>
      </c>
      <c r="K503" s="70">
        <f ca="1">IF(Tabla16[[#This Row],[Ticker]]="",0,SUMIF(Tablaholdings[Ticker],Tabla16[[#This Row],[Ticker]],Tablaholdings[Peso Real en Portafolio])/100)</f>
        <v>1.174047004877748E-4</v>
      </c>
      <c r="L503" s="220"/>
      <c r="M503" s="220"/>
      <c r="N503" s="220"/>
      <c r="O503" s="220"/>
      <c r="P503" s="220"/>
      <c r="Q503" s="220"/>
      <c r="S503" s="227" t="str">
        <f ca="1"/>
        <v>DT</v>
      </c>
      <c r="AB503" s="14" t="s">
        <v>1516</v>
      </c>
    </row>
    <row r="504" spans="1:28" ht="30" customHeight="1" x14ac:dyDescent="0.55000000000000004">
      <c r="A504" s="245" t="s">
        <v>1514</v>
      </c>
      <c r="B504" s="246" t="s">
        <v>1515</v>
      </c>
      <c r="C504" s="247">
        <v>4.7123489999999997</v>
      </c>
      <c r="D504" s="248">
        <f t="shared" si="14"/>
        <v>4.7123489999999997E-2</v>
      </c>
      <c r="E504" s="69">
        <f t="shared" ca="1" si="15"/>
        <v>1.8922661408024108</v>
      </c>
      <c r="F504" s="249" t="s">
        <v>37</v>
      </c>
      <c r="G504" s="220"/>
      <c r="H504" s="220"/>
      <c r="I504" s="220"/>
      <c r="J504" s="250" t="str" cm="1">
        <f t="array" aca="1" ref="J504" ca="1">IFERROR(INDEX(_xlfn.ANCHORARRAY($S$12),ROW()-12+1),"")</f>
        <v>LNT</v>
      </c>
      <c r="K504" s="70">
        <f ca="1">IF(Tabla16[[#This Row],[Ticker]]="",0,SUMIF(Tablaholdings[Ticker],Tabla16[[#This Row],[Ticker]],Tablaholdings[Peso Real en Portafolio])/100)</f>
        <v>1.1739453216720257E-4</v>
      </c>
      <c r="L504" s="220"/>
      <c r="M504" s="220"/>
      <c r="N504" s="220"/>
      <c r="O504" s="220"/>
      <c r="P504" s="220"/>
      <c r="Q504" s="220"/>
      <c r="S504" s="227" t="str">
        <f ca="1"/>
        <v>LNT</v>
      </c>
      <c r="AB504" s="14" t="s">
        <v>1517</v>
      </c>
    </row>
    <row r="505" spans="1:28" ht="30" customHeight="1" x14ac:dyDescent="0.55000000000000004">
      <c r="A505" s="245" t="s">
        <v>1518</v>
      </c>
      <c r="B505" s="246" t="s">
        <v>1519</v>
      </c>
      <c r="C505" s="247">
        <v>0.10322099999999999</v>
      </c>
      <c r="D505" s="248">
        <f t="shared" si="14"/>
        <v>1.03221E-3</v>
      </c>
      <c r="E505" s="69">
        <f t="shared" ca="1" si="15"/>
        <v>4.144888320448372E-2</v>
      </c>
      <c r="F505" s="249" t="s">
        <v>37</v>
      </c>
      <c r="G505" s="220"/>
      <c r="H505" s="220"/>
      <c r="I505" s="220"/>
      <c r="J505" s="250" t="str" cm="1">
        <f t="array" aca="1" ref="J505" ca="1">IFERROR(INDEX(_xlfn.ANCHORARRAY($S$12),ROW()-12+1),"")</f>
        <v>FTV</v>
      </c>
      <c r="K505" s="70">
        <f ca="1">IF(Tabla16[[#This Row],[Ticker]]="",0,SUMIF(Tablaholdings[Ticker],Tabla16[[#This Row],[Ticker]],Tablaholdings[Peso Real en Portafolio])/100)</f>
        <v>1.1672795127649774E-4</v>
      </c>
      <c r="L505" s="220"/>
      <c r="M505" s="220"/>
      <c r="N505" s="220"/>
      <c r="O505" s="220"/>
      <c r="P505" s="220"/>
      <c r="Q505" s="220"/>
      <c r="S505" s="227" t="str">
        <f ca="1"/>
        <v>FTV</v>
      </c>
      <c r="AB505" s="14" t="s">
        <v>1520</v>
      </c>
    </row>
    <row r="506" spans="1:28" ht="30" customHeight="1" x14ac:dyDescent="0.55000000000000004">
      <c r="A506" s="251" t="s">
        <v>1521</v>
      </c>
      <c r="B506" s="252" t="s">
        <v>1522</v>
      </c>
      <c r="C506" s="140">
        <v>0.12571271370000001</v>
      </c>
      <c r="D506" s="248">
        <f t="shared" si="14"/>
        <v>1.2571271370000001E-3</v>
      </c>
      <c r="E506" s="69">
        <f t="shared" ca="1" si="15"/>
        <v>3.7730967959826944E-2</v>
      </c>
      <c r="F506" s="249" t="s">
        <v>38</v>
      </c>
      <c r="G506" s="220"/>
      <c r="H506" s="220"/>
      <c r="I506" s="220"/>
      <c r="J506" s="253" t="str" cm="1">
        <f t="array" aca="1" ref="J506" ca="1">IFERROR(INDEX(_xlfn.ANCHORARRAY($S$12),ROW()-12+1),"")</f>
        <v>CACI</v>
      </c>
      <c r="K506" s="70">
        <f ca="1">IF(Tabla16[[#This Row],[Ticker]]="",0,SUMIF(Tablaholdings[Ticker],Tabla16[[#This Row],[Ticker]],Tablaholdings[Peso Real en Portafolio])/100)</f>
        <v>1.1587439337929033E-4</v>
      </c>
      <c r="L506" s="220"/>
      <c r="M506" s="220"/>
      <c r="N506" s="220"/>
      <c r="O506" s="220"/>
      <c r="P506" s="220"/>
      <c r="Q506" s="220"/>
      <c r="S506" s="227" t="str">
        <f ca="1"/>
        <v>CACI</v>
      </c>
      <c r="AB506" s="14" t="s">
        <v>1523</v>
      </c>
    </row>
    <row r="507" spans="1:28" ht="30" customHeight="1" x14ac:dyDescent="0.55000000000000004">
      <c r="A507" s="251" t="s">
        <v>1524</v>
      </c>
      <c r="B507" s="252" t="s">
        <v>1525</v>
      </c>
      <c r="C507" s="140">
        <v>0.2076704248</v>
      </c>
      <c r="D507" s="248">
        <f t="shared" si="14"/>
        <v>2.0767042479999998E-3</v>
      </c>
      <c r="E507" s="69">
        <f t="shared" ca="1" si="15"/>
        <v>6.1949913925638228E-2</v>
      </c>
      <c r="F507" s="249" t="s">
        <v>39</v>
      </c>
      <c r="G507" s="220"/>
      <c r="H507" s="220"/>
      <c r="I507" s="220"/>
      <c r="J507" s="253" t="str" cm="1">
        <f t="array" aca="1" ref="J507" ca="1">IFERROR(INDEX(_xlfn.ANCHORARRAY($S$12),ROW()-12+1),"")</f>
        <v>TOST</v>
      </c>
      <c r="K507" s="70">
        <f ca="1">IF(Tabla16[[#This Row],[Ticker]]="",0,SUMIF(Tablaholdings[Ticker],Tabla16[[#This Row],[Ticker]],Tablaholdings[Peso Real en Portafolio])/100)</f>
        <v>1.1561569074575265E-4</v>
      </c>
      <c r="L507" s="220"/>
      <c r="M507" s="220"/>
      <c r="N507" s="220"/>
      <c r="O507" s="220"/>
      <c r="P507" s="220"/>
      <c r="Q507" s="220"/>
      <c r="S507" s="227" t="str">
        <f ca="1"/>
        <v>TOST</v>
      </c>
      <c r="AB507" s="14" t="s">
        <v>1526</v>
      </c>
    </row>
    <row r="508" spans="1:28" ht="30" customHeight="1" x14ac:dyDescent="0.55000000000000004">
      <c r="A508" s="245" t="s">
        <v>1527</v>
      </c>
      <c r="B508" s="246" t="s">
        <v>1528</v>
      </c>
      <c r="C508" s="247">
        <v>4.8481999999999997E-2</v>
      </c>
      <c r="D508" s="248">
        <f t="shared" si="14"/>
        <v>4.8481999999999996E-4</v>
      </c>
      <c r="E508" s="69">
        <f t="shared" ca="1" si="15"/>
        <v>1.946817755611532E-2</v>
      </c>
      <c r="F508" s="249" t="s">
        <v>37</v>
      </c>
      <c r="G508" s="220"/>
      <c r="H508" s="220"/>
      <c r="I508" s="220"/>
      <c r="J508" s="250" t="str" cm="1">
        <f t="array" aca="1" ref="J508" ca="1">IFERROR(INDEX(_xlfn.ANCHORARRAY($S$12),ROW()-12+1),"")</f>
        <v>LEN</v>
      </c>
      <c r="K508" s="70">
        <f ca="1">IF(Tabla16[[#This Row],[Ticker]]="",0,SUMIF(Tablaholdings[Ticker],Tabla16[[#This Row],[Ticker]],Tablaholdings[Peso Real en Portafolio])/100)</f>
        <v>1.1534258737714132E-4</v>
      </c>
      <c r="L508" s="220"/>
      <c r="M508" s="220"/>
      <c r="N508" s="220"/>
      <c r="O508" s="220"/>
      <c r="P508" s="220"/>
      <c r="Q508" s="220"/>
      <c r="S508" s="227" t="str">
        <f ca="1"/>
        <v>LEN</v>
      </c>
      <c r="AB508" s="14" t="s">
        <v>1529</v>
      </c>
    </row>
    <row r="509" spans="1:28" ht="30" customHeight="1" x14ac:dyDescent="0.55000000000000004">
      <c r="A509" s="251" t="s">
        <v>1530</v>
      </c>
      <c r="B509" s="252" t="s">
        <v>1531</v>
      </c>
      <c r="C509" s="140">
        <v>7.4089951500000001E-2</v>
      </c>
      <c r="D509" s="248">
        <f t="shared" si="14"/>
        <v>7.4089951500000005E-4</v>
      </c>
      <c r="E509" s="69">
        <f t="shared" ca="1" si="15"/>
        <v>2.2101684063101656E-2</v>
      </c>
      <c r="F509" s="249" t="s">
        <v>39</v>
      </c>
      <c r="G509" s="220"/>
      <c r="H509" s="220"/>
      <c r="I509" s="220"/>
      <c r="J509" s="250" t="str" cm="1">
        <f t="array" aca="1" ref="J509" ca="1">IFERROR(INDEX(_xlfn.ANCHORARRAY($S$12),ROW()-12+1),"")</f>
        <v>BKE</v>
      </c>
      <c r="K509" s="70">
        <f ca="1">IF(Tabla16[[#This Row],[Ticker]]="",0,SUMIF(Tablaholdings[Ticker],Tabla16[[#This Row],[Ticker]],Tablaholdings[Peso Real en Portafolio])/100)</f>
        <v>1.1422753212855063E-4</v>
      </c>
      <c r="L509" s="220"/>
      <c r="M509" s="220"/>
      <c r="N509" s="220"/>
      <c r="O509" s="220"/>
      <c r="P509" s="220"/>
      <c r="Q509" s="220"/>
      <c r="S509" s="227" t="str">
        <f ca="1"/>
        <v>BKE</v>
      </c>
      <c r="AB509" s="14" t="s">
        <v>1532</v>
      </c>
    </row>
    <row r="510" spans="1:28" ht="30" customHeight="1" x14ac:dyDescent="0.55000000000000004">
      <c r="A510" s="245" t="s">
        <v>1530</v>
      </c>
      <c r="B510" s="246" t="s">
        <v>1533</v>
      </c>
      <c r="C510" s="247">
        <v>3.2543999999999997E-2</v>
      </c>
      <c r="D510" s="248">
        <f t="shared" si="14"/>
        <v>3.2543999999999997E-4</v>
      </c>
      <c r="E510" s="69">
        <f t="shared" ca="1" si="15"/>
        <v>1.3068197895842106E-2</v>
      </c>
      <c r="F510" s="249" t="s">
        <v>37</v>
      </c>
      <c r="G510" s="220"/>
      <c r="H510" s="220"/>
      <c r="I510" s="220"/>
      <c r="J510" s="253" t="str" cm="1">
        <f t="array" aca="1" ref="J510" ca="1">IFERROR(INDEX(_xlfn.ANCHORARRAY($S$12),ROW()-12+1),"")</f>
        <v>AMCR</v>
      </c>
      <c r="K510" s="70">
        <f ca="1">IF(Tabla16[[#This Row],[Ticker]]="",0,SUMIF(Tablaholdings[Ticker],Tabla16[[#This Row],[Ticker]],Tablaholdings[Peso Real en Portafolio])/100)</f>
        <v>1.1354362208174516E-4</v>
      </c>
      <c r="L510" s="220"/>
      <c r="M510" s="220"/>
      <c r="N510" s="220"/>
      <c r="O510" s="220"/>
      <c r="P510" s="220"/>
      <c r="Q510" s="220"/>
      <c r="S510" s="227" t="str">
        <f ca="1"/>
        <v>AMCR</v>
      </c>
      <c r="AB510" s="14" t="s">
        <v>1534</v>
      </c>
    </row>
    <row r="511" spans="1:28" ht="30" customHeight="1" x14ac:dyDescent="0.55000000000000004">
      <c r="A511" s="251" t="s">
        <v>1535</v>
      </c>
      <c r="B511" s="252" t="s">
        <v>1536</v>
      </c>
      <c r="C511" s="140">
        <v>0.11145068349999999</v>
      </c>
      <c r="D511" s="248">
        <f t="shared" si="14"/>
        <v>1.114506835E-3</v>
      </c>
      <c r="E511" s="69">
        <f t="shared" ca="1" si="15"/>
        <v>3.3450412806094038E-2</v>
      </c>
      <c r="F511" s="249" t="s">
        <v>38</v>
      </c>
      <c r="G511" s="220"/>
      <c r="H511" s="220"/>
      <c r="I511" s="220"/>
      <c r="J511" s="250" t="str" cm="1">
        <f t="array" aca="1" ref="J511" ca="1">IFERROR(INDEX(_xlfn.ANCHORARRAY($S$12),ROW()-12+1),"")</f>
        <v>LKFN</v>
      </c>
      <c r="K511" s="70">
        <f ca="1">IF(Tabla16[[#This Row],[Ticker]]="",0,SUMIF(Tablaholdings[Ticker],Tabla16[[#This Row],[Ticker]],Tablaholdings[Peso Real en Portafolio])/100)</f>
        <v>1.127387160594256E-4</v>
      </c>
      <c r="L511" s="220"/>
      <c r="M511" s="220"/>
      <c r="N511" s="220"/>
      <c r="O511" s="220"/>
      <c r="P511" s="220"/>
      <c r="Q511" s="220"/>
      <c r="S511" s="227" t="str">
        <f ca="1"/>
        <v>LKFN</v>
      </c>
      <c r="AB511" s="14" t="s">
        <v>1537</v>
      </c>
    </row>
    <row r="512" spans="1:28" ht="30" customHeight="1" x14ac:dyDescent="0.55000000000000004">
      <c r="A512" s="251" t="s">
        <v>1538</v>
      </c>
      <c r="B512" s="252" t="s">
        <v>1539</v>
      </c>
      <c r="C512" s="140">
        <v>9.3259605900000001E-2</v>
      </c>
      <c r="D512" s="248">
        <f t="shared" si="14"/>
        <v>9.3259605900000004E-4</v>
      </c>
      <c r="E512" s="69">
        <f t="shared" ca="1" si="15"/>
        <v>2.7820160544323898E-2</v>
      </c>
      <c r="F512" s="249" t="s">
        <v>39</v>
      </c>
      <c r="G512" s="220"/>
      <c r="H512" s="220"/>
      <c r="I512" s="220"/>
      <c r="J512" s="250" t="str" cm="1">
        <f t="array" aca="1" ref="J512" ca="1">IFERROR(INDEX(_xlfn.ANCHORARRAY($S$12),ROW()-12+1),"")</f>
        <v>SATS</v>
      </c>
      <c r="K512" s="70">
        <f ca="1">IF(Tabla16[[#This Row],[Ticker]]="",0,SUMIF(Tablaholdings[Ticker],Tabla16[[#This Row],[Ticker]],Tablaholdings[Peso Real en Portafolio])/100)</f>
        <v>1.1239517548691636E-4</v>
      </c>
      <c r="L512" s="220"/>
      <c r="M512" s="220"/>
      <c r="N512" s="220"/>
      <c r="O512" s="220"/>
      <c r="P512" s="220"/>
      <c r="Q512" s="220"/>
      <c r="S512" s="227" t="str">
        <f ca="1"/>
        <v>SATS</v>
      </c>
      <c r="AB512" s="14" t="s">
        <v>1540</v>
      </c>
    </row>
    <row r="513" spans="1:28" ht="30" customHeight="1" x14ac:dyDescent="0.55000000000000004">
      <c r="A513" s="245" t="s">
        <v>1541</v>
      </c>
      <c r="B513" s="246" t="s">
        <v>1542</v>
      </c>
      <c r="C513" s="247">
        <v>1.416466</v>
      </c>
      <c r="D513" s="248">
        <f t="shared" si="14"/>
        <v>1.4164660000000001E-2</v>
      </c>
      <c r="E513" s="69">
        <f t="shared" ca="1" si="15"/>
        <v>0.5687886553813879</v>
      </c>
      <c r="F513" s="249" t="s">
        <v>37</v>
      </c>
      <c r="G513" s="220"/>
      <c r="H513" s="220"/>
      <c r="I513" s="220"/>
      <c r="J513" s="253" t="str" cm="1">
        <f t="array" aca="1" ref="J513" ca="1">IFERROR(INDEX(_xlfn.ANCHORARRAY($S$12),ROW()-12+1),"")</f>
        <v>JBHT</v>
      </c>
      <c r="K513" s="70">
        <f ca="1">IF(Tabla16[[#This Row],[Ticker]]="",0,SUMIF(Tablaholdings[Ticker],Tabla16[[#This Row],[Ticker]],Tablaholdings[Peso Real en Portafolio])/100)</f>
        <v>1.1184906102224254E-4</v>
      </c>
      <c r="L513" s="220"/>
      <c r="M513" s="220"/>
      <c r="N513" s="220"/>
      <c r="O513" s="220"/>
      <c r="P513" s="220"/>
      <c r="Q513" s="220"/>
      <c r="S513" s="227" t="str">
        <f ca="1"/>
        <v>JBHT</v>
      </c>
      <c r="AB513" s="14" t="s">
        <v>1543</v>
      </c>
    </row>
    <row r="514" spans="1:28" ht="30" customHeight="1" x14ac:dyDescent="0.55000000000000004">
      <c r="A514" s="251" t="s">
        <v>1544</v>
      </c>
      <c r="B514" s="252" t="s">
        <v>1545</v>
      </c>
      <c r="C514" s="140">
        <v>0.13414188830000001</v>
      </c>
      <c r="D514" s="248">
        <f t="shared" si="14"/>
        <v>1.3414188830000002E-3</v>
      </c>
      <c r="E514" s="69">
        <f t="shared" ca="1" si="15"/>
        <v>4.0260870524171856E-2</v>
      </c>
      <c r="F514" s="249" t="s">
        <v>38</v>
      </c>
      <c r="G514" s="220"/>
      <c r="H514" s="220"/>
      <c r="I514" s="220"/>
      <c r="J514" s="250" t="str" cm="1">
        <f t="array" aca="1" ref="J514" ca="1">IFERROR(INDEX(_xlfn.ANCHORARRAY($S$12),ROW()-12+1),"")</f>
        <v>L</v>
      </c>
      <c r="K514" s="70">
        <f ca="1">IF(Tabla16[[#This Row],[Ticker]]="",0,SUMIF(Tablaholdings[Ticker],Tabla16[[#This Row],[Ticker]],Tablaholdings[Peso Real en Portafolio])/100)</f>
        <v>1.1087729851892585E-4</v>
      </c>
      <c r="L514" s="220"/>
      <c r="M514" s="220"/>
      <c r="N514" s="220"/>
      <c r="O514" s="220"/>
      <c r="P514" s="220"/>
      <c r="Q514" s="220"/>
      <c r="S514" s="227" t="str">
        <f ca="1"/>
        <v>L</v>
      </c>
      <c r="AB514" s="14" t="s">
        <v>1546</v>
      </c>
    </row>
    <row r="515" spans="1:28" ht="30" customHeight="1" x14ac:dyDescent="0.55000000000000004">
      <c r="A515" s="251" t="s">
        <v>1547</v>
      </c>
      <c r="B515" s="252" t="s">
        <v>1548</v>
      </c>
      <c r="C515" s="140">
        <v>5.9852642400000003E-2</v>
      </c>
      <c r="D515" s="248">
        <f t="shared" si="14"/>
        <v>5.9852642399999998E-4</v>
      </c>
      <c r="E515" s="69">
        <f t="shared" ca="1" si="15"/>
        <v>1.7963959779713035E-2</v>
      </c>
      <c r="F515" s="249" t="s">
        <v>38</v>
      </c>
      <c r="G515" s="220"/>
      <c r="H515" s="220"/>
      <c r="I515" s="220"/>
      <c r="J515" s="250" t="str" cm="1">
        <f t="array" aca="1" ref="J515" ca="1">IFERROR(INDEX(_xlfn.ANCHORARRAY($S$12),ROW()-12+1),"")</f>
        <v>ESS</v>
      </c>
      <c r="K515" s="70">
        <f ca="1">IF(Tabla16[[#This Row],[Ticker]]="",0,SUMIF(Tablaholdings[Ticker],Tabla16[[#This Row],[Ticker]],Tablaholdings[Peso Real en Portafolio])/100)</f>
        <v>1.1022677981835849E-4</v>
      </c>
      <c r="L515" s="220"/>
      <c r="M515" s="220"/>
      <c r="N515" s="220"/>
      <c r="O515" s="220"/>
      <c r="P515" s="220"/>
      <c r="Q515" s="220"/>
      <c r="S515" s="227" t="str">
        <f ca="1"/>
        <v>ESS</v>
      </c>
      <c r="AB515" s="14" t="s">
        <v>1549</v>
      </c>
    </row>
    <row r="516" spans="1:28" ht="30" customHeight="1" x14ac:dyDescent="0.55000000000000004">
      <c r="A516" s="251" t="s">
        <v>1550</v>
      </c>
      <c r="B516" s="252" t="s">
        <v>1551</v>
      </c>
      <c r="C516" s="140">
        <v>4.7707331899999997E-2</v>
      </c>
      <c r="D516" s="248">
        <f t="shared" si="14"/>
        <v>4.7707331899999998E-4</v>
      </c>
      <c r="E516" s="69">
        <f t="shared" ca="1" si="15"/>
        <v>1.4318709368277123E-2</v>
      </c>
      <c r="F516" s="249" t="s">
        <v>38</v>
      </c>
      <c r="G516" s="220"/>
      <c r="H516" s="220"/>
      <c r="I516" s="220"/>
      <c r="J516" s="250" t="str" cm="1">
        <f t="array" aca="1" ref="J516" ca="1">IFERROR(INDEX(_xlfn.ANCHORARRAY($S$12),ROW()-12+1),"")</f>
        <v>BG</v>
      </c>
      <c r="K516" s="70">
        <f ca="1">IF(Tabla16[[#This Row],[Ticker]]="",0,SUMIF(Tablaholdings[Ticker],Tabla16[[#This Row],[Ticker]],Tablaholdings[Peso Real en Portafolio])/100)</f>
        <v>1.0688182872223124E-4</v>
      </c>
      <c r="L516" s="220"/>
      <c r="M516" s="220"/>
      <c r="N516" s="220"/>
      <c r="O516" s="220"/>
      <c r="P516" s="220"/>
      <c r="Q516" s="220"/>
      <c r="S516" s="227" t="str">
        <f ca="1"/>
        <v>BG</v>
      </c>
      <c r="AB516" s="14" t="s">
        <v>1552</v>
      </c>
    </row>
    <row r="517" spans="1:28" ht="30" customHeight="1" x14ac:dyDescent="0.55000000000000004">
      <c r="A517" s="251" t="s">
        <v>1553</v>
      </c>
      <c r="B517" s="252" t="s">
        <v>1554</v>
      </c>
      <c r="C517" s="140">
        <v>5.5976297799999998E-2</v>
      </c>
      <c r="D517" s="248">
        <f t="shared" si="14"/>
        <v>5.5976297799999999E-4</v>
      </c>
      <c r="E517" s="69">
        <f t="shared" ca="1" si="15"/>
        <v>1.669822187692608E-2</v>
      </c>
      <c r="F517" s="249" t="s">
        <v>39</v>
      </c>
      <c r="G517" s="220"/>
      <c r="H517" s="220"/>
      <c r="I517" s="220"/>
      <c r="J517" s="250" t="str" cm="1">
        <f t="array" aca="1" ref="J517" ca="1">IFERROR(INDEX(_xlfn.ANCHORARRAY($S$12),ROW()-12+1),"")</f>
        <v>IP</v>
      </c>
      <c r="K517" s="70">
        <f ca="1">IF(Tabla16[[#This Row],[Ticker]]="",0,SUMIF(Tablaholdings[Ticker],Tabla16[[#This Row],[Ticker]],Tablaholdings[Peso Real en Portafolio])/100)</f>
        <v>1.0607068812028924E-4</v>
      </c>
      <c r="L517" s="220"/>
      <c r="M517" s="220"/>
      <c r="N517" s="220"/>
      <c r="O517" s="220"/>
      <c r="P517" s="220"/>
      <c r="Q517" s="220"/>
      <c r="S517" s="227" t="str">
        <f ca="1"/>
        <v>IP</v>
      </c>
      <c r="AB517" s="14" t="s">
        <v>1555</v>
      </c>
    </row>
    <row r="518" spans="1:28" ht="30" customHeight="1" x14ac:dyDescent="0.55000000000000004">
      <c r="A518" s="245" t="s">
        <v>1556</v>
      </c>
      <c r="B518" s="246" t="s">
        <v>1557</v>
      </c>
      <c r="C518" s="247">
        <v>1.1412E-2</v>
      </c>
      <c r="D518" s="248">
        <f t="shared" si="14"/>
        <v>1.1412E-4</v>
      </c>
      <c r="E518" s="69">
        <f t="shared" ca="1" si="15"/>
        <v>4.5825428462189692E-3</v>
      </c>
      <c r="F518" s="249" t="s">
        <v>37</v>
      </c>
      <c r="G518" s="220"/>
      <c r="H518" s="220"/>
      <c r="I518" s="220"/>
      <c r="J518" s="253" t="str" cm="1">
        <f t="array" aca="1" ref="J518" ca="1">IFERROR(INDEX(_xlfn.ANCHORARRAY($S$12),ROW()-12+1),"")</f>
        <v>WMS</v>
      </c>
      <c r="K518" s="70">
        <f ca="1">IF(Tabla16[[#This Row],[Ticker]]="",0,SUMIF(Tablaholdings[Ticker],Tabla16[[#This Row],[Ticker]],Tablaholdings[Peso Real en Portafolio])/100)</f>
        <v>1.0534962867518156E-4</v>
      </c>
      <c r="L518" s="220"/>
      <c r="M518" s="220"/>
      <c r="N518" s="220"/>
      <c r="O518" s="220"/>
      <c r="P518" s="220"/>
      <c r="Q518" s="220"/>
      <c r="S518" s="227" t="str">
        <f ca="1"/>
        <v>WMS</v>
      </c>
      <c r="AB518" s="14" t="s">
        <v>1558</v>
      </c>
    </row>
    <row r="519" spans="1:28" ht="30" customHeight="1" x14ac:dyDescent="0.55000000000000004">
      <c r="A519" s="245" t="s">
        <v>1559</v>
      </c>
      <c r="B519" s="246" t="s">
        <v>1560</v>
      </c>
      <c r="C519" s="247">
        <v>6.3423999999999994E-2</v>
      </c>
      <c r="D519" s="248">
        <f t="shared" si="14"/>
        <v>6.3423999999999989E-4</v>
      </c>
      <c r="E519" s="69">
        <f t="shared" ca="1" si="15"/>
        <v>2.5468208681965639E-2</v>
      </c>
      <c r="F519" s="249" t="s">
        <v>37</v>
      </c>
      <c r="G519" s="220"/>
      <c r="H519" s="220"/>
      <c r="I519" s="220"/>
      <c r="J519" s="250" t="str" cm="1">
        <f t="array" aca="1" ref="J519" ca="1">IFERROR(INDEX(_xlfn.ANCHORARRAY($S$12),ROW()-12+1),"")</f>
        <v>WY</v>
      </c>
      <c r="K519" s="70">
        <f ca="1">IF(Tabla16[[#This Row],[Ticker]]="",0,SUMIF(Tablaholdings[Ticker],Tabla16[[#This Row],[Ticker]],Tablaholdings[Peso Real en Portafolio])/100)</f>
        <v>1.0441226698859589E-4</v>
      </c>
      <c r="L519" s="220"/>
      <c r="M519" s="220"/>
      <c r="N519" s="220"/>
      <c r="O519" s="220"/>
      <c r="P519" s="220"/>
      <c r="Q519" s="220"/>
      <c r="S519" s="227" t="str">
        <f ca="1"/>
        <v>WY</v>
      </c>
      <c r="AB519" s="14" t="s">
        <v>1561</v>
      </c>
    </row>
    <row r="520" spans="1:28" ht="30" customHeight="1" x14ac:dyDescent="0.55000000000000004">
      <c r="A520" s="245" t="s">
        <v>1562</v>
      </c>
      <c r="B520" s="246" t="s">
        <v>1563</v>
      </c>
      <c r="C520" s="247">
        <v>2.3328999999999999E-2</v>
      </c>
      <c r="D520" s="248">
        <f t="shared" si="14"/>
        <v>2.3328999999999998E-4</v>
      </c>
      <c r="E520" s="69">
        <f t="shared" ca="1" si="15"/>
        <v>9.3678708429234432E-3</v>
      </c>
      <c r="F520" s="249" t="s">
        <v>37</v>
      </c>
      <c r="G520" s="220"/>
      <c r="H520" s="220"/>
      <c r="I520" s="220"/>
      <c r="J520" s="253" t="str" cm="1">
        <f t="array" aca="1" ref="J520" ca="1">IFERROR(INDEX(_xlfn.ANCHORARRAY($S$12),ROW()-12+1),"")</f>
        <v>RBRK</v>
      </c>
      <c r="K520" s="70">
        <f ca="1">IF(Tabla16[[#This Row],[Ticker]]="",0,SUMIF(Tablaholdings[Ticker],Tabla16[[#This Row],[Ticker]],Tablaholdings[Peso Real en Portafolio])/100)</f>
        <v>1.034500406362463E-4</v>
      </c>
      <c r="L520" s="220"/>
      <c r="M520" s="220"/>
      <c r="N520" s="220"/>
      <c r="O520" s="220"/>
      <c r="P520" s="220"/>
      <c r="Q520" s="220"/>
      <c r="S520" s="227" t="str">
        <f ca="1"/>
        <v>RBRK</v>
      </c>
      <c r="AB520" s="14" t="s">
        <v>1564</v>
      </c>
    </row>
    <row r="521" spans="1:28" ht="30" customHeight="1" x14ac:dyDescent="0.55000000000000004">
      <c r="A521" s="245" t="s">
        <v>1565</v>
      </c>
      <c r="B521" s="246" t="s">
        <v>1566</v>
      </c>
      <c r="C521" s="247">
        <v>0.30941200000000002</v>
      </c>
      <c r="D521" s="248">
        <f t="shared" si="14"/>
        <v>3.0941200000000001E-3</v>
      </c>
      <c r="E521" s="69">
        <f t="shared" ca="1" si="15"/>
        <v>0.12424585937033857</v>
      </c>
      <c r="F521" s="249" t="s">
        <v>37</v>
      </c>
      <c r="G521" s="220"/>
      <c r="H521" s="220"/>
      <c r="I521" s="220"/>
      <c r="J521" s="253" t="str" cm="1">
        <f t="array" aca="1" ref="J521" ca="1">IFERROR(INDEX(_xlfn.ANCHORARRAY($S$12),ROW()-12+1),"")</f>
        <v>INCY</v>
      </c>
      <c r="K521" s="70">
        <f ca="1">IF(Tabla16[[#This Row],[Ticker]]="",0,SUMIF(Tablaholdings[Ticker],Tabla16[[#This Row],[Ticker]],Tablaholdings[Peso Real en Portafolio])/100)</f>
        <v>1.0336822462966062E-4</v>
      </c>
      <c r="L521" s="220"/>
      <c r="M521" s="220"/>
      <c r="N521" s="220"/>
      <c r="O521" s="220"/>
      <c r="P521" s="220"/>
      <c r="Q521" s="220"/>
      <c r="S521" s="227" t="str">
        <f ca="1"/>
        <v>INCY</v>
      </c>
      <c r="AB521" s="14" t="s">
        <v>1567</v>
      </c>
    </row>
    <row r="522" spans="1:28" ht="30" customHeight="1" x14ac:dyDescent="0.55000000000000004">
      <c r="A522" s="245" t="s">
        <v>1568</v>
      </c>
      <c r="B522" s="246" t="s">
        <v>1569</v>
      </c>
      <c r="C522" s="247">
        <v>0.20322599999999999</v>
      </c>
      <c r="D522" s="248">
        <f t="shared" si="14"/>
        <v>2.0322599999999997E-3</v>
      </c>
      <c r="E522" s="69">
        <f t="shared" ca="1" si="15"/>
        <v>8.1606366321915189E-2</v>
      </c>
      <c r="F522" s="249" t="s">
        <v>37</v>
      </c>
      <c r="G522" s="220"/>
      <c r="H522" s="220"/>
      <c r="I522" s="220"/>
      <c r="J522" s="250" t="str" cm="1">
        <f t="array" aca="1" ref="J522" ca="1">IFERROR(INDEX(_xlfn.ANCHORARRAY($S$12),ROW()-12+1),"")</f>
        <v>ZBH</v>
      </c>
      <c r="K522" s="70">
        <f ca="1">IF(Tabla16[[#This Row],[Ticker]]="",0,SUMIF(Tablaholdings[Ticker],Tabla16[[#This Row],[Ticker]],Tablaholdings[Peso Real en Portafolio])/100)</f>
        <v>1.0330397586911075E-4</v>
      </c>
      <c r="L522" s="220"/>
      <c r="M522" s="220"/>
      <c r="N522" s="220"/>
      <c r="O522" s="220"/>
      <c r="P522" s="220"/>
      <c r="Q522" s="220"/>
      <c r="S522" s="227" t="str">
        <f ca="1"/>
        <v>ZBH</v>
      </c>
      <c r="AB522" s="14" t="s">
        <v>1570</v>
      </c>
    </row>
    <row r="523" spans="1:28" ht="30" customHeight="1" x14ac:dyDescent="0.55000000000000004">
      <c r="A523" s="251" t="s">
        <v>1571</v>
      </c>
      <c r="B523" s="252" t="s">
        <v>1572</v>
      </c>
      <c r="C523" s="140">
        <v>0.22432154409999999</v>
      </c>
      <c r="D523" s="248">
        <f t="shared" si="14"/>
        <v>2.2432154409999998E-3</v>
      </c>
      <c r="E523" s="69">
        <f t="shared" ca="1" si="15"/>
        <v>6.6917089239089664E-2</v>
      </c>
      <c r="F523" s="249" t="s">
        <v>39</v>
      </c>
      <c r="G523" s="220"/>
      <c r="H523" s="220"/>
      <c r="I523" s="220"/>
      <c r="J523" s="250" t="str" cm="1">
        <f t="array" aca="1" ref="J523" ca="1">IFERROR(INDEX(_xlfn.ANCHORARRAY($S$12),ROW()-12+1),"")</f>
        <v>HUBS</v>
      </c>
      <c r="K523" s="70">
        <f ca="1">IF(Tabla16[[#This Row],[Ticker]]="",0,SUMIF(Tablaholdings[Ticker],Tabla16[[#This Row],[Ticker]],Tablaholdings[Peso Real en Portafolio])/100)</f>
        <v>1.0318466155359509E-4</v>
      </c>
      <c r="L523" s="220"/>
      <c r="M523" s="220"/>
      <c r="N523" s="220"/>
      <c r="O523" s="220"/>
      <c r="P523" s="220"/>
      <c r="Q523" s="220"/>
      <c r="S523" s="227" t="str">
        <f ca="1"/>
        <v>HUBS</v>
      </c>
      <c r="AB523" s="14" t="s">
        <v>1573</v>
      </c>
    </row>
    <row r="524" spans="1:28" ht="30" customHeight="1" x14ac:dyDescent="0.55000000000000004">
      <c r="A524" s="251" t="s">
        <v>1574</v>
      </c>
      <c r="B524" s="252" t="s">
        <v>1575</v>
      </c>
      <c r="C524" s="140">
        <v>1.2963135163999999</v>
      </c>
      <c r="D524" s="248">
        <f t="shared" ref="D524:D587" si="16">C524/100</f>
        <v>1.2963135164E-2</v>
      </c>
      <c r="E524" s="69">
        <f t="shared" ref="E524:E587" ca="1" si="17">C524 * VLOOKUP(F524, $A$6:$B$8, 2, FALSE)</f>
        <v>0.38670172143655873</v>
      </c>
      <c r="F524" s="249" t="s">
        <v>39</v>
      </c>
      <c r="G524" s="220"/>
      <c r="H524" s="220"/>
      <c r="I524" s="220"/>
      <c r="J524" s="250" t="str" cm="1">
        <f t="array" aca="1" ref="J524" ca="1">IFERROR(INDEX(_xlfn.ANCHORARRAY($S$12),ROW()-12+1),"")</f>
        <v>INVH</v>
      </c>
      <c r="K524" s="70">
        <f ca="1">IF(Tabla16[[#This Row],[Ticker]]="",0,SUMIF(Tablaholdings[Ticker],Tabla16[[#This Row],[Ticker]],Tablaholdings[Peso Real en Portafolio])/100)</f>
        <v>1.0110747136781232E-4</v>
      </c>
      <c r="L524" s="220"/>
      <c r="M524" s="220"/>
      <c r="N524" s="220"/>
      <c r="O524" s="220"/>
      <c r="P524" s="220"/>
      <c r="Q524" s="220"/>
      <c r="S524" s="227" t="str">
        <f ca="1"/>
        <v>INVH</v>
      </c>
      <c r="AB524" s="14" t="s">
        <v>1576</v>
      </c>
    </row>
    <row r="525" spans="1:28" ht="30" customHeight="1" x14ac:dyDescent="0.55000000000000004">
      <c r="A525" s="245" t="s">
        <v>1574</v>
      </c>
      <c r="B525" s="246" t="s">
        <v>1575</v>
      </c>
      <c r="C525" s="247">
        <v>0.57897500000000002</v>
      </c>
      <c r="D525" s="248">
        <f t="shared" si="16"/>
        <v>5.7897499999999998E-3</v>
      </c>
      <c r="E525" s="69">
        <f t="shared" ca="1" si="17"/>
        <v>0.23249016337098036</v>
      </c>
      <c r="F525" s="249" t="s">
        <v>37</v>
      </c>
      <c r="G525" s="220"/>
      <c r="H525" s="220"/>
      <c r="I525" s="220"/>
      <c r="J525" s="250" t="str" cm="1">
        <f t="array" aca="1" ref="J525" ca="1">IFERROR(INDEX(_xlfn.ANCHORARRAY($S$12),ROW()-12+1),"")</f>
        <v>DLTR</v>
      </c>
      <c r="K525" s="70">
        <f ca="1">IF(Tabla16[[#This Row],[Ticker]]="",0,SUMIF(Tablaholdings[Ticker],Tabla16[[#This Row],[Ticker]],Tablaholdings[Peso Real en Portafolio])/100)</f>
        <v>1.0110345582027795E-4</v>
      </c>
      <c r="L525" s="220"/>
      <c r="M525" s="220"/>
      <c r="N525" s="220"/>
      <c r="O525" s="220"/>
      <c r="P525" s="220"/>
      <c r="Q525" s="220"/>
      <c r="S525" s="227" t="str">
        <f ca="1"/>
        <v>DLTR</v>
      </c>
      <c r="AB525" s="14" t="s">
        <v>1577</v>
      </c>
    </row>
    <row r="526" spans="1:28" ht="30" customHeight="1" x14ac:dyDescent="0.55000000000000004">
      <c r="A526" s="245" t="s">
        <v>1578</v>
      </c>
      <c r="B526" s="246" t="s">
        <v>1579</v>
      </c>
      <c r="C526" s="247">
        <v>3.5321999999999999E-2</v>
      </c>
      <c r="D526" s="248">
        <f t="shared" si="16"/>
        <v>3.5322000000000001E-4</v>
      </c>
      <c r="E526" s="69">
        <f t="shared" ca="1" si="17"/>
        <v>1.4183717000889101E-2</v>
      </c>
      <c r="F526" s="249" t="s">
        <v>37</v>
      </c>
      <c r="G526" s="220"/>
      <c r="H526" s="220"/>
      <c r="I526" s="220"/>
      <c r="J526" s="250" t="str" cm="1">
        <f t="array" aca="1" ref="J526" ca="1">IFERROR(INDEX(_xlfn.ANCHORARRAY($S$12),ROW()-12+1),"")</f>
        <v>SRCE</v>
      </c>
      <c r="K526" s="70">
        <f ca="1">IF(Tabla16[[#This Row],[Ticker]]="",0,SUMIF(Tablaholdings[Ticker],Tabla16[[#This Row],[Ticker]],Tablaholdings[Peso Real en Portafolio])/100)</f>
        <v>1.0099904288340095E-4</v>
      </c>
      <c r="L526" s="220"/>
      <c r="M526" s="220"/>
      <c r="N526" s="220"/>
      <c r="O526" s="220"/>
      <c r="P526" s="220"/>
      <c r="Q526" s="220"/>
      <c r="S526" s="227" t="str">
        <f ca="1"/>
        <v>SRCE</v>
      </c>
      <c r="AB526" s="14" t="s">
        <v>1580</v>
      </c>
    </row>
    <row r="527" spans="1:28" ht="30" customHeight="1" x14ac:dyDescent="0.55000000000000004">
      <c r="A527" s="245" t="s">
        <v>1581</v>
      </c>
      <c r="B527" s="246" t="s">
        <v>1582</v>
      </c>
      <c r="C527" s="247">
        <v>7.8988000000000003E-2</v>
      </c>
      <c r="D527" s="248">
        <f t="shared" si="16"/>
        <v>7.8988000000000007E-4</v>
      </c>
      <c r="E527" s="69">
        <f t="shared" ca="1" si="17"/>
        <v>3.171800686445355E-2</v>
      </c>
      <c r="F527" s="249" t="s">
        <v>37</v>
      </c>
      <c r="G527" s="220"/>
      <c r="H527" s="220"/>
      <c r="I527" s="220"/>
      <c r="J527" s="250" t="str" cm="1">
        <f t="array" aca="1" ref="J527" ca="1">IFERROR(INDEX(_xlfn.ANCHORARRAY($S$12),ROW()-12+1),"")</f>
        <v>BRO</v>
      </c>
      <c r="K527" s="70">
        <f ca="1">IF(Tabla16[[#This Row],[Ticker]]="",0,SUMIF(Tablaholdings[Ticker],Tabla16[[#This Row],[Ticker]],Tablaholdings[Peso Real en Portafolio])/100)</f>
        <v>1.0032042405107651E-4</v>
      </c>
      <c r="L527" s="220"/>
      <c r="M527" s="220"/>
      <c r="N527" s="220"/>
      <c r="O527" s="220"/>
      <c r="P527" s="220"/>
      <c r="Q527" s="220"/>
      <c r="S527" s="227" t="str">
        <f ca="1"/>
        <v>BRO</v>
      </c>
      <c r="AB527" s="14" t="s">
        <v>1583</v>
      </c>
    </row>
    <row r="528" spans="1:28" ht="30" customHeight="1" x14ac:dyDescent="0.55000000000000004">
      <c r="A528" s="245" t="s">
        <v>1584</v>
      </c>
      <c r="B528" s="246" t="s">
        <v>1585</v>
      </c>
      <c r="C528" s="247">
        <v>0.115203</v>
      </c>
      <c r="D528" s="248">
        <f t="shared" si="16"/>
        <v>1.1520300000000001E-3</v>
      </c>
      <c r="E528" s="69">
        <f t="shared" ca="1" si="17"/>
        <v>4.6260312260161578E-2</v>
      </c>
      <c r="F528" s="249" t="s">
        <v>37</v>
      </c>
      <c r="G528" s="220"/>
      <c r="H528" s="220"/>
      <c r="I528" s="220"/>
      <c r="J528" s="250" t="str" cm="1">
        <f t="array" aca="1" ref="J528" ca="1">IFERROR(INDEX(_xlfn.ANCHORARRAY($S$12),ROW()-12+1),"")</f>
        <v>LDOS</v>
      </c>
      <c r="K528" s="70">
        <f ca="1">IF(Tabla16[[#This Row],[Ticker]]="",0,SUMIF(Tablaholdings[Ticker],Tabla16[[#This Row],[Ticker]],Tablaholdings[Peso Real en Portafolio])/100)</f>
        <v>1.0029231521833595E-4</v>
      </c>
      <c r="L528" s="220"/>
      <c r="M528" s="220"/>
      <c r="N528" s="220"/>
      <c r="O528" s="220"/>
      <c r="P528" s="220"/>
      <c r="Q528" s="220"/>
      <c r="S528" s="227" t="str">
        <f ca="1"/>
        <v>LDOS</v>
      </c>
      <c r="AB528" s="14" t="s">
        <v>1586</v>
      </c>
    </row>
    <row r="529" spans="1:28" ht="30" customHeight="1" x14ac:dyDescent="0.55000000000000004">
      <c r="A529" s="251" t="s">
        <v>1587</v>
      </c>
      <c r="B529" s="252" t="s">
        <v>1588</v>
      </c>
      <c r="C529" s="140">
        <v>0.3349328768</v>
      </c>
      <c r="D529" s="248">
        <f t="shared" si="16"/>
        <v>3.3493287679999999E-3</v>
      </c>
      <c r="E529" s="69">
        <f t="shared" ca="1" si="17"/>
        <v>9.9913422475102459E-2</v>
      </c>
      <c r="F529" s="249" t="s">
        <v>39</v>
      </c>
      <c r="G529" s="220"/>
      <c r="H529" s="220"/>
      <c r="I529" s="220"/>
      <c r="J529" s="250" t="str" cm="1">
        <f t="array" aca="1" ref="J529" ca="1">IFERROR(INDEX(_xlfn.ANCHORARRAY($S$12),ROW()-12+1),"")</f>
        <v>TXT</v>
      </c>
      <c r="K529" s="70">
        <f ca="1">IF(Tabla16[[#This Row],[Ticker]]="",0,SUMIF(Tablaholdings[Ticker],Tabla16[[#This Row],[Ticker]],Tablaholdings[Peso Real en Portafolio])/100)</f>
        <v>1.0003532017613649E-4</v>
      </c>
      <c r="L529" s="220"/>
      <c r="M529" s="220"/>
      <c r="N529" s="220"/>
      <c r="O529" s="220"/>
      <c r="P529" s="220"/>
      <c r="Q529" s="220"/>
      <c r="S529" s="227" t="str">
        <f ca="1"/>
        <v>TXT</v>
      </c>
      <c r="AB529" s="14" t="s">
        <v>1589</v>
      </c>
    </row>
    <row r="530" spans="1:28" ht="30" customHeight="1" x14ac:dyDescent="0.55000000000000004">
      <c r="A530" s="245" t="s">
        <v>1587</v>
      </c>
      <c r="B530" s="246" t="s">
        <v>1588</v>
      </c>
      <c r="C530" s="247">
        <v>0.142566</v>
      </c>
      <c r="D530" s="248">
        <f t="shared" si="16"/>
        <v>1.42566E-3</v>
      </c>
      <c r="E530" s="69">
        <f t="shared" ca="1" si="17"/>
        <v>5.7248054978448433E-2</v>
      </c>
      <c r="F530" s="249" t="s">
        <v>37</v>
      </c>
      <c r="G530" s="220"/>
      <c r="H530" s="220"/>
      <c r="I530" s="220"/>
      <c r="J530" s="253" t="str" cm="1">
        <f t="array" aca="1" ref="J530" ca="1">IFERROR(INDEX(_xlfn.ANCHORARRAY($S$12),ROW()-12+1),"")</f>
        <v>GPN</v>
      </c>
      <c r="K530" s="70">
        <f ca="1">IF(Tabla16[[#This Row],[Ticker]]="",0,SUMIF(Tablaholdings[Ticker],Tabla16[[#This Row],[Ticker]],Tablaholdings[Peso Real en Portafolio])/100)</f>
        <v>1.0003130462860211E-4</v>
      </c>
      <c r="L530" s="220"/>
      <c r="M530" s="220"/>
      <c r="N530" s="220"/>
      <c r="O530" s="220"/>
      <c r="P530" s="220"/>
      <c r="Q530" s="220"/>
      <c r="S530" s="227" t="str">
        <f ca="1"/>
        <v>GPN</v>
      </c>
      <c r="AB530" s="14" t="s">
        <v>1590</v>
      </c>
    </row>
    <row r="531" spans="1:28" ht="30" customHeight="1" x14ac:dyDescent="0.55000000000000004">
      <c r="A531" s="245" t="s">
        <v>1591</v>
      </c>
      <c r="B531" s="246" t="s">
        <v>1592</v>
      </c>
      <c r="C531" s="247">
        <v>4.3685000000000002E-2</v>
      </c>
      <c r="D531" s="248">
        <f t="shared" si="16"/>
        <v>4.3685000000000002E-4</v>
      </c>
      <c r="E531" s="69">
        <f t="shared" ca="1" si="17"/>
        <v>1.7541919403879749E-2</v>
      </c>
      <c r="F531" s="249" t="s">
        <v>37</v>
      </c>
      <c r="G531" s="220"/>
      <c r="H531" s="220"/>
      <c r="I531" s="220"/>
      <c r="J531" s="250" t="str" cm="1">
        <f t="array" aca="1" ref="J531" ca="1">IFERROR(INDEX(_xlfn.ANCHORARRAY($S$12),ROW()-12+1),"")</f>
        <v>IEX</v>
      </c>
      <c r="K531" s="70">
        <f ca="1">IF(Tabla16[[#This Row],[Ticker]]="",0,SUMIF(Tablaholdings[Ticker],Tabla16[[#This Row],[Ticker]],Tablaholdings[Peso Real en Portafolio])/100)</f>
        <v>9.9577547757218719E-5</v>
      </c>
      <c r="L531" s="220"/>
      <c r="M531" s="220"/>
      <c r="N531" s="220"/>
      <c r="O531" s="220"/>
      <c r="P531" s="220"/>
      <c r="Q531" s="220"/>
      <c r="S531" s="227" t="str">
        <f ca="1"/>
        <v>IEX</v>
      </c>
      <c r="AB531" s="14" t="s">
        <v>1593</v>
      </c>
    </row>
    <row r="532" spans="1:28" ht="30" customHeight="1" x14ac:dyDescent="0.55000000000000004">
      <c r="A532" s="245" t="s">
        <v>1594</v>
      </c>
      <c r="B532" s="246" t="s">
        <v>1595</v>
      </c>
      <c r="C532" s="247">
        <v>0.109277</v>
      </c>
      <c r="D532" s="248">
        <f t="shared" si="16"/>
        <v>1.0927700000000001E-3</v>
      </c>
      <c r="E532" s="69">
        <f t="shared" ca="1" si="17"/>
        <v>4.3880698791296031E-2</v>
      </c>
      <c r="F532" s="249" t="s">
        <v>37</v>
      </c>
      <c r="G532" s="220"/>
      <c r="H532" s="220"/>
      <c r="I532" s="220"/>
      <c r="J532" s="253" t="str" cm="1">
        <f t="array" aca="1" ref="J532" ca="1">IFERROR(INDEX(_xlfn.ANCHORARRAY($S$12),ROW()-12+1),"")</f>
        <v>CWEN</v>
      </c>
      <c r="K532" s="70">
        <f ca="1">IF(Tabla16[[#This Row],[Ticker]]="",0,SUMIF(Tablaholdings[Ticker],Tabla16[[#This Row],[Ticker]],Tablaholdings[Peso Real en Portafolio])/100)</f>
        <v>9.9549392220272664E-5</v>
      </c>
      <c r="L532" s="220"/>
      <c r="M532" s="220"/>
      <c r="N532" s="220"/>
      <c r="O532" s="220"/>
      <c r="P532" s="220"/>
      <c r="Q532" s="220"/>
      <c r="S532" s="227" t="str">
        <f ca="1"/>
        <v>CWEN</v>
      </c>
      <c r="AB532" s="14" t="s">
        <v>1596</v>
      </c>
    </row>
    <row r="533" spans="1:28" ht="30" customHeight="1" x14ac:dyDescent="0.55000000000000004">
      <c r="A533" s="251" t="s">
        <v>1597</v>
      </c>
      <c r="B533" s="252" t="s">
        <v>1598</v>
      </c>
      <c r="C533" s="140">
        <v>2.6549660900000001E-2</v>
      </c>
      <c r="D533" s="248">
        <f t="shared" si="16"/>
        <v>2.65496609E-4</v>
      </c>
      <c r="E533" s="69">
        <f t="shared" ca="1" si="17"/>
        <v>7.9685210451563918E-3</v>
      </c>
      <c r="F533" s="249" t="s">
        <v>38</v>
      </c>
      <c r="G533" s="220"/>
      <c r="H533" s="220"/>
      <c r="I533" s="220"/>
      <c r="J533" s="250" t="str" cm="1">
        <f t="array" aca="1" ref="J533" ca="1">IFERROR(INDEX(_xlfn.ANCHORARRAY($S$12),ROW()-12+1),"")</f>
        <v>TSCO</v>
      </c>
      <c r="K533" s="70">
        <f ca="1">IF(Tabla16[[#This Row],[Ticker]]="",0,SUMIF(Tablaholdings[Ticker],Tabla16[[#This Row],[Ticker]],Tablaholdings[Peso Real en Portafolio])/100)</f>
        <v>9.9188039646385174E-5</v>
      </c>
      <c r="L533" s="220"/>
      <c r="M533" s="220"/>
      <c r="N533" s="220"/>
      <c r="O533" s="220"/>
      <c r="P533" s="220"/>
      <c r="Q533" s="220"/>
      <c r="S533" s="227" t="str">
        <f ca="1"/>
        <v>TSCO</v>
      </c>
      <c r="AB533" s="14" t="s">
        <v>1599</v>
      </c>
    </row>
    <row r="534" spans="1:28" ht="30" customHeight="1" x14ac:dyDescent="0.55000000000000004">
      <c r="A534" s="245" t="s">
        <v>1600</v>
      </c>
      <c r="B534" s="246" t="s">
        <v>1601</v>
      </c>
      <c r="C534" s="247">
        <v>3.6858000000000002E-2</v>
      </c>
      <c r="D534" s="248">
        <f t="shared" si="16"/>
        <v>3.6858000000000003E-4</v>
      </c>
      <c r="E534" s="69">
        <f t="shared" ca="1" si="17"/>
        <v>1.4800505102167787E-2</v>
      </c>
      <c r="F534" s="249" t="s">
        <v>37</v>
      </c>
      <c r="G534" s="220"/>
      <c r="H534" s="220"/>
      <c r="I534" s="220"/>
      <c r="J534" s="253" t="str" cm="1">
        <f t="array" aca="1" ref="J534" ca="1">IFERROR(INDEX(_xlfn.ANCHORARRAY($S$12),ROW()-12+1),"")</f>
        <v>WEN</v>
      </c>
      <c r="K534" s="70">
        <f ca="1">IF(Tabla16[[#This Row],[Ticker]]="",0,SUMIF(Tablaholdings[Ticker],Tabla16[[#This Row],[Ticker]],Tablaholdings[Peso Real en Portafolio])/100)</f>
        <v>9.874858704554966E-5</v>
      </c>
      <c r="L534" s="220"/>
      <c r="M534" s="220"/>
      <c r="N534" s="220"/>
      <c r="O534" s="220"/>
      <c r="P534" s="220"/>
      <c r="Q534" s="220"/>
      <c r="S534" s="227" t="str">
        <f ca="1"/>
        <v>WEN</v>
      </c>
      <c r="AB534" s="14" t="s">
        <v>1602</v>
      </c>
    </row>
    <row r="535" spans="1:28" ht="30" customHeight="1" x14ac:dyDescent="0.55000000000000004">
      <c r="A535" s="251" t="s">
        <v>1603</v>
      </c>
      <c r="B535" s="252" t="s">
        <v>1604</v>
      </c>
      <c r="C535" s="140">
        <v>9.6474927200000005E-2</v>
      </c>
      <c r="D535" s="248">
        <f t="shared" si="16"/>
        <v>9.6474927200000009E-4</v>
      </c>
      <c r="E535" s="69">
        <f t="shared" ca="1" si="17"/>
        <v>2.877931916293848E-2</v>
      </c>
      <c r="F535" s="249" t="s">
        <v>39</v>
      </c>
      <c r="G535" s="220"/>
      <c r="H535" s="220"/>
      <c r="I535" s="220"/>
      <c r="J535" s="253" t="str" cm="1">
        <f t="array" aca="1" ref="J535" ca="1">IFERROR(INDEX(_xlfn.ANCHORARRAY($S$12),ROW()-12+1),"")</f>
        <v>MEDP</v>
      </c>
      <c r="K535" s="70">
        <f ca="1">IF(Tabla16[[#This Row],[Ticker]]="",0,SUMIF(Tablaholdings[Ticker],Tabla16[[#This Row],[Ticker]],Tablaholdings[Peso Real en Portafolio])/100)</f>
        <v>9.8664905668911912E-5</v>
      </c>
      <c r="L535" s="220"/>
      <c r="M535" s="220"/>
      <c r="N535" s="220"/>
      <c r="O535" s="220"/>
      <c r="P535" s="220"/>
      <c r="Q535" s="220"/>
      <c r="S535" s="227" t="str">
        <f ca="1"/>
        <v>MEDP</v>
      </c>
      <c r="AB535" s="14" t="s">
        <v>1605</v>
      </c>
    </row>
    <row r="536" spans="1:28" ht="30" customHeight="1" x14ac:dyDescent="0.55000000000000004">
      <c r="A536" s="245" t="s">
        <v>1606</v>
      </c>
      <c r="B536" s="246" t="s">
        <v>1607</v>
      </c>
      <c r="C536" s="247">
        <v>4.7594999999999998E-2</v>
      </c>
      <c r="D536" s="248">
        <f t="shared" si="16"/>
        <v>4.7595E-4</v>
      </c>
      <c r="E536" s="69">
        <f t="shared" ca="1" si="17"/>
        <v>1.9111998489817018E-2</v>
      </c>
      <c r="F536" s="249" t="s">
        <v>37</v>
      </c>
      <c r="G536" s="220"/>
      <c r="H536" s="220"/>
      <c r="I536" s="220"/>
      <c r="J536" s="250" t="str" cm="1">
        <f t="array" aca="1" ref="J536" ca="1">IFERROR(INDEX(_xlfn.ANCHORARRAY($S$12),ROW()-12+1),"")</f>
        <v>KIM</v>
      </c>
      <c r="K536" s="70">
        <f ca="1">IF(Tabla16[[#This Row],[Ticker]]="",0,SUMIF(Tablaholdings[Ticker],Tabla16[[#This Row],[Ticker]],Tablaholdings[Peso Real en Portafolio])/100)</f>
        <v>9.8176121667724835E-5</v>
      </c>
      <c r="L536" s="220"/>
      <c r="M536" s="220"/>
      <c r="N536" s="220"/>
      <c r="O536" s="220"/>
      <c r="P536" s="220"/>
      <c r="Q536" s="220"/>
      <c r="S536" s="227" t="str">
        <f ca="1"/>
        <v>KIM</v>
      </c>
      <c r="AB536" s="14" t="s">
        <v>1608</v>
      </c>
    </row>
    <row r="537" spans="1:28" ht="30" customHeight="1" x14ac:dyDescent="0.55000000000000004">
      <c r="A537" s="245" t="s">
        <v>1609</v>
      </c>
      <c r="B537" s="246" t="s">
        <v>1610</v>
      </c>
      <c r="C537" s="247">
        <v>8.3354999999999999E-2</v>
      </c>
      <c r="D537" s="248">
        <f t="shared" si="16"/>
        <v>8.3354999999999996E-4</v>
      </c>
      <c r="E537" s="69">
        <f t="shared" ca="1" si="17"/>
        <v>3.3471596472711369E-2</v>
      </c>
      <c r="F537" s="249" t="s">
        <v>37</v>
      </c>
      <c r="G537" s="220"/>
      <c r="H537" s="220"/>
      <c r="I537" s="220"/>
      <c r="J537" s="253" t="str" cm="1">
        <f t="array" aca="1" ref="J537" ca="1">IFERROR(INDEX(_xlfn.ANCHORARRAY($S$12),ROW()-12+1),"")</f>
        <v>DOCU</v>
      </c>
      <c r="K537" s="70">
        <f ca="1">IF(Tabla16[[#This Row],[Ticker]]="",0,SUMIF(Tablaholdings[Ticker],Tabla16[[#This Row],[Ticker]],Tablaholdings[Peso Real en Portafolio])/100)</f>
        <v>9.8039097074338911E-5</v>
      </c>
      <c r="L537" s="220"/>
      <c r="M537" s="220"/>
      <c r="N537" s="220"/>
      <c r="O537" s="220"/>
      <c r="P537" s="220"/>
      <c r="Q537" s="220"/>
      <c r="S537" s="227" t="str">
        <f ca="1"/>
        <v>DOCU</v>
      </c>
      <c r="AB537" s="14" t="s">
        <v>1611</v>
      </c>
    </row>
    <row r="538" spans="1:28" ht="30" customHeight="1" x14ac:dyDescent="0.55000000000000004">
      <c r="A538" s="251" t="s">
        <v>1612</v>
      </c>
      <c r="B538" s="252" t="s">
        <v>1613</v>
      </c>
      <c r="C538" s="140">
        <v>12.453112920600001</v>
      </c>
      <c r="D538" s="248">
        <f t="shared" si="16"/>
        <v>0.12453112920600001</v>
      </c>
      <c r="E538" s="69">
        <f t="shared" ca="1" si="17"/>
        <v>3.7148730941365291</v>
      </c>
      <c r="F538" s="249" t="s">
        <v>39</v>
      </c>
      <c r="G538" s="220"/>
      <c r="H538" s="220"/>
      <c r="I538" s="220"/>
      <c r="J538" s="250" t="str" cm="1">
        <f t="array" aca="1" ref="J538" ca="1">IFERROR(INDEX(_xlfn.ANCHORARRAY($S$12),ROW()-12+1),"")</f>
        <v>LVS</v>
      </c>
      <c r="K538" s="70">
        <f ca="1">IF(Tabla16[[#This Row],[Ticker]]="",0,SUMIF(Tablaholdings[Ticker],Tabla16[[#This Row],[Ticker]],Tablaholdings[Peso Real en Portafolio])/100)</f>
        <v>9.7609929465379168E-5</v>
      </c>
      <c r="L538" s="220"/>
      <c r="M538" s="220"/>
      <c r="N538" s="220"/>
      <c r="O538" s="220"/>
      <c r="P538" s="220"/>
      <c r="Q538" s="220"/>
      <c r="S538" s="227" t="str">
        <f ca="1"/>
        <v>LVS</v>
      </c>
      <c r="AB538" s="14" t="s">
        <v>1614</v>
      </c>
    </row>
    <row r="539" spans="1:28" ht="30" customHeight="1" x14ac:dyDescent="0.55000000000000004">
      <c r="A539" s="245" t="s">
        <v>1612</v>
      </c>
      <c r="B539" s="246" t="s">
        <v>1613</v>
      </c>
      <c r="C539" s="247">
        <v>8.5942799999999995</v>
      </c>
      <c r="D539" s="248">
        <f t="shared" si="16"/>
        <v>8.59428E-2</v>
      </c>
      <c r="E539" s="69">
        <f t="shared" ca="1" si="17"/>
        <v>3.4510739863654716</v>
      </c>
      <c r="F539" s="249" t="s">
        <v>37</v>
      </c>
      <c r="G539" s="220"/>
      <c r="H539" s="220"/>
      <c r="I539" s="220"/>
      <c r="J539" s="250" t="str" cm="1">
        <f t="array" aca="1" ref="J539" ca="1">IFERROR(INDEX(_xlfn.ANCHORARRAY($S$12),ROW()-12+1),"")</f>
        <v>ROL</v>
      </c>
      <c r="K539" s="70">
        <f ca="1">IF(Tabla16[[#This Row],[Ticker]]="",0,SUMIF(Tablaholdings[Ticker],Tabla16[[#This Row],[Ticker]],Tablaholdings[Peso Real en Portafolio])/100)</f>
        <v>9.7340887780576605E-5</v>
      </c>
      <c r="L539" s="220"/>
      <c r="M539" s="220"/>
      <c r="N539" s="220"/>
      <c r="O539" s="220"/>
      <c r="P539" s="220"/>
      <c r="Q539" s="220"/>
      <c r="S539" s="227" t="str">
        <f ca="1"/>
        <v>ROL</v>
      </c>
      <c r="AB539" s="14" t="s">
        <v>1615</v>
      </c>
    </row>
    <row r="540" spans="1:28" ht="30" customHeight="1" x14ac:dyDescent="0.55000000000000004">
      <c r="A540" s="251" t="s">
        <v>1616</v>
      </c>
      <c r="B540" s="252" t="s">
        <v>1617</v>
      </c>
      <c r="C540" s="140">
        <v>5.4009034900000003E-2</v>
      </c>
      <c r="D540" s="248">
        <f t="shared" si="16"/>
        <v>5.4009034900000003E-4</v>
      </c>
      <c r="E540" s="69">
        <f t="shared" ca="1" si="17"/>
        <v>1.6111370054181114E-2</v>
      </c>
      <c r="F540" s="249" t="s">
        <v>39</v>
      </c>
      <c r="G540" s="220"/>
      <c r="H540" s="220"/>
      <c r="I540" s="220"/>
      <c r="J540" s="250" t="str" cm="1">
        <f t="array" aca="1" ref="J540" ca="1">IFERROR(INDEX(_xlfn.ANCHORARRAY($S$12),ROW()-12+1),"")</f>
        <v>POOL</v>
      </c>
      <c r="K540" s="70">
        <f ca="1">IF(Tabla16[[#This Row],[Ticker]]="",0,SUMIF(Tablaholdings[Ticker],Tabla16[[#This Row],[Ticker]],Tablaholdings[Peso Real en Portafolio])/100)</f>
        <v>9.6815035511690404E-5</v>
      </c>
      <c r="L540" s="220"/>
      <c r="M540" s="220"/>
      <c r="N540" s="220"/>
      <c r="O540" s="220"/>
      <c r="P540" s="220"/>
      <c r="Q540" s="220"/>
      <c r="S540" s="227" t="str">
        <f ca="1"/>
        <v>POOL</v>
      </c>
      <c r="AB540" s="14" t="s">
        <v>1618</v>
      </c>
    </row>
    <row r="541" spans="1:28" ht="30" customHeight="1" x14ac:dyDescent="0.55000000000000004">
      <c r="A541" s="245" t="s">
        <v>1616</v>
      </c>
      <c r="B541" s="246" t="s">
        <v>1617</v>
      </c>
      <c r="C541" s="247">
        <v>2.4903999999999999E-2</v>
      </c>
      <c r="D541" s="248">
        <f t="shared" si="16"/>
        <v>2.4904000000000001E-4</v>
      </c>
      <c r="E541" s="69">
        <f t="shared" ca="1" si="17"/>
        <v>1.0000319579586156E-2</v>
      </c>
      <c r="F541" s="249" t="s">
        <v>37</v>
      </c>
      <c r="G541" s="220"/>
      <c r="H541" s="220"/>
      <c r="I541" s="220"/>
      <c r="J541" s="253" t="str" cm="1">
        <f t="array" aca="1" ref="J541" ca="1">IFERROR(INDEX(_xlfn.ANCHORARRAY($S$12),ROW()-12+1),"")</f>
        <v>MAA</v>
      </c>
      <c r="K541" s="70">
        <f ca="1">IF(Tabla16[[#This Row],[Ticker]]="",0,SUMIF(Tablaholdings[Ticker],Tabla16[[#This Row],[Ticker]],Tablaholdings[Peso Real en Portafolio])/100)</f>
        <v>9.5349176203530849E-5</v>
      </c>
      <c r="L541" s="220"/>
      <c r="M541" s="220"/>
      <c r="N541" s="220"/>
      <c r="O541" s="220"/>
      <c r="P541" s="220"/>
      <c r="Q541" s="220"/>
      <c r="S541" s="227" t="str">
        <f ca="1"/>
        <v>MAA</v>
      </c>
      <c r="AB541" s="14" t="s">
        <v>1619</v>
      </c>
    </row>
    <row r="542" spans="1:28" ht="30" customHeight="1" x14ac:dyDescent="0.55000000000000004">
      <c r="A542" s="245" t="s">
        <v>1620</v>
      </c>
      <c r="B542" s="246" t="s">
        <v>1621</v>
      </c>
      <c r="C542" s="247">
        <v>5.9280000000000001E-3</v>
      </c>
      <c r="D542" s="248">
        <f t="shared" si="16"/>
        <v>5.9280000000000002E-5</v>
      </c>
      <c r="E542" s="69">
        <f t="shared" ca="1" si="17"/>
        <v>2.3804165783724192E-3</v>
      </c>
      <c r="F542" s="249" t="s">
        <v>37</v>
      </c>
      <c r="G542" s="220"/>
      <c r="H542" s="220"/>
      <c r="I542" s="220"/>
      <c r="J542" s="250" t="str" cm="1">
        <f t="array" aca="1" ref="J542" ca="1">IFERROR(INDEX(_xlfn.ANCHORARRAY($S$12),ROW()-12+1),"")</f>
        <v>CNM</v>
      </c>
      <c r="K542" s="70">
        <f ca="1">IF(Tabla16[[#This Row],[Ticker]]="",0,SUMIF(Tablaholdings[Ticker],Tabla16[[#This Row],[Ticker]],Tablaholdings[Peso Real en Portafolio])/100)</f>
        <v>9.5277519226296875E-5</v>
      </c>
      <c r="L542" s="220"/>
      <c r="M542" s="220"/>
      <c r="N542" s="220"/>
      <c r="O542" s="220"/>
      <c r="P542" s="220"/>
      <c r="Q542" s="220"/>
      <c r="S542" s="227" t="str">
        <f ca="1"/>
        <v>CNM</v>
      </c>
      <c r="AB542" s="14" t="s">
        <v>1622</v>
      </c>
    </row>
    <row r="543" spans="1:28" ht="30" customHeight="1" x14ac:dyDescent="0.55000000000000004">
      <c r="A543" s="245" t="s">
        <v>1623</v>
      </c>
      <c r="B543" s="246" t="s">
        <v>1624</v>
      </c>
      <c r="C543" s="247">
        <v>1.5419E-2</v>
      </c>
      <c r="D543" s="248">
        <f t="shared" si="16"/>
        <v>1.5419000000000001E-4</v>
      </c>
      <c r="E543" s="69">
        <f t="shared" ca="1" si="17"/>
        <v>6.1915727432395977E-3</v>
      </c>
      <c r="F543" s="249" t="s">
        <v>37</v>
      </c>
      <c r="G543" s="220"/>
      <c r="H543" s="220"/>
      <c r="I543" s="220"/>
      <c r="J543" s="250" t="str" cm="1">
        <f t="array" aca="1" ref="J543" ca="1">IFERROR(INDEX(_xlfn.ANCHORARRAY($S$12),ROW()-12+1),"")</f>
        <v>BALL</v>
      </c>
      <c r="K543" s="70">
        <f ca="1">IF(Tabla16[[#This Row],[Ticker]]="",0,SUMIF(Tablaholdings[Ticker],Tabla16[[#This Row],[Ticker]],Tablaholdings[Peso Real en Portafolio])/100)</f>
        <v>9.48432172142007E-5</v>
      </c>
      <c r="L543" s="220"/>
      <c r="M543" s="220"/>
      <c r="N543" s="220"/>
      <c r="O543" s="220"/>
      <c r="P543" s="220"/>
      <c r="Q543" s="220"/>
      <c r="S543" s="227" t="str">
        <f ca="1"/>
        <v>BALL</v>
      </c>
      <c r="AB543" s="14" t="s">
        <v>1625</v>
      </c>
    </row>
    <row r="544" spans="1:28" ht="30" customHeight="1" x14ac:dyDescent="0.55000000000000004">
      <c r="A544" s="245" t="s">
        <v>1626</v>
      </c>
      <c r="B544" s="246" t="s">
        <v>1627</v>
      </c>
      <c r="C544" s="247">
        <v>0.117615</v>
      </c>
      <c r="D544" s="248">
        <f t="shared" si="16"/>
        <v>1.1761499999999999E-3</v>
      </c>
      <c r="E544" s="69">
        <f t="shared" ca="1" si="17"/>
        <v>4.722886232545076E-2</v>
      </c>
      <c r="F544" s="249" t="s">
        <v>37</v>
      </c>
      <c r="G544" s="220"/>
      <c r="H544" s="220"/>
      <c r="I544" s="220"/>
      <c r="J544" s="250" t="str" cm="1">
        <f t="array" aca="1" ref="J544" ca="1">IFERROR(INDEX(_xlfn.ANCHORARRAY($S$12),ROW()-12+1),"")</f>
        <v>NDSN</v>
      </c>
      <c r="K544" s="70">
        <f ca="1">IF(Tabla16[[#This Row],[Ticker]]="",0,SUMIF(Tablaholdings[Ticker],Tabla16[[#This Row],[Ticker]],Tablaholdings[Peso Real en Portafolio])/100)</f>
        <v>9.3678708429234431E-5</v>
      </c>
      <c r="L544" s="220"/>
      <c r="M544" s="220"/>
      <c r="N544" s="220"/>
      <c r="O544" s="220"/>
      <c r="P544" s="220"/>
      <c r="Q544" s="220"/>
      <c r="S544" s="227" t="str">
        <f ca="1"/>
        <v>NDSN</v>
      </c>
      <c r="AB544" s="14" t="s">
        <v>1628</v>
      </c>
    </row>
    <row r="545" spans="1:28" ht="30" customHeight="1" x14ac:dyDescent="0.55000000000000004">
      <c r="A545" s="251" t="s">
        <v>1629</v>
      </c>
      <c r="B545" s="252" t="s">
        <v>1630</v>
      </c>
      <c r="C545" s="140">
        <v>0.1446135563</v>
      </c>
      <c r="D545" s="248">
        <f t="shared" si="16"/>
        <v>1.446135563E-3</v>
      </c>
      <c r="E545" s="69">
        <f t="shared" ca="1" si="17"/>
        <v>4.3403799812428437E-2</v>
      </c>
      <c r="F545" s="249" t="s">
        <v>38</v>
      </c>
      <c r="G545" s="220"/>
      <c r="H545" s="220"/>
      <c r="I545" s="220"/>
      <c r="J545" s="250" t="str" cm="1">
        <f t="array" aca="1" ref="J545" ca="1">IFERROR(INDEX(_xlfn.ANCHORARRAY($S$12),ROW()-12+1),"")</f>
        <v>EG</v>
      </c>
      <c r="K545" s="70">
        <f ca="1">IF(Tabla16[[#This Row],[Ticker]]="",0,SUMIF(Tablaholdings[Ticker],Tabla16[[#This Row],[Ticker]],Tablaholdings[Peso Real en Portafolio])/100)</f>
        <v>8.9643083157196158E-5</v>
      </c>
      <c r="L545" s="220"/>
      <c r="M545" s="220"/>
      <c r="N545" s="220"/>
      <c r="O545" s="220"/>
      <c r="P545" s="220"/>
      <c r="Q545" s="220"/>
      <c r="S545" s="227" t="str">
        <f ca="1"/>
        <v>EG</v>
      </c>
      <c r="AB545" s="14" t="s">
        <v>1631</v>
      </c>
    </row>
    <row r="546" spans="1:28" ht="30" customHeight="1" x14ac:dyDescent="0.55000000000000004">
      <c r="A546" s="245" t="s">
        <v>1632</v>
      </c>
      <c r="B546" s="246" t="s">
        <v>1633</v>
      </c>
      <c r="C546" s="247">
        <v>8.8532E-2</v>
      </c>
      <c r="D546" s="248">
        <f t="shared" si="16"/>
        <v>8.8531999999999999E-4</v>
      </c>
      <c r="E546" s="69">
        <f t="shared" ca="1" si="17"/>
        <v>3.5550445431252874E-2</v>
      </c>
      <c r="F546" s="249" t="s">
        <v>37</v>
      </c>
      <c r="G546" s="220"/>
      <c r="H546" s="220"/>
      <c r="I546" s="220"/>
      <c r="J546" s="253" t="str" cm="1">
        <f t="array" aca="1" ref="J546" ca="1">IFERROR(INDEX(_xlfn.ANCHORARRAY($S$12),ROW()-12+1),"")</f>
        <v>AAL</v>
      </c>
      <c r="K546" s="70">
        <f ca="1">IF(Tabla16[[#This Row],[Ticker]]="",0,SUMIF(Tablaholdings[Ticker],Tabla16[[#This Row],[Ticker]],Tablaholdings[Peso Real en Portafolio])/100)</f>
        <v>8.8274047009389805E-5</v>
      </c>
      <c r="L546" s="220"/>
      <c r="M546" s="220"/>
      <c r="N546" s="220"/>
      <c r="O546" s="220"/>
      <c r="P546" s="220"/>
      <c r="Q546" s="220"/>
      <c r="S546" s="227" t="str">
        <f ca="1"/>
        <v>AAL</v>
      </c>
      <c r="AB546" s="14" t="s">
        <v>1634</v>
      </c>
    </row>
    <row r="547" spans="1:28" ht="30" customHeight="1" x14ac:dyDescent="0.55000000000000004">
      <c r="A547" s="245" t="s">
        <v>1635</v>
      </c>
      <c r="B547" s="246" t="s">
        <v>1636</v>
      </c>
      <c r="C547" s="247">
        <v>5.4628000000000003E-2</v>
      </c>
      <c r="D547" s="248">
        <f t="shared" si="16"/>
        <v>5.4628000000000001E-4</v>
      </c>
      <c r="E547" s="69">
        <f t="shared" ca="1" si="17"/>
        <v>2.193613307073693E-2</v>
      </c>
      <c r="F547" s="249" t="s">
        <v>37</v>
      </c>
      <c r="G547" s="220"/>
      <c r="H547" s="220"/>
      <c r="I547" s="220"/>
      <c r="J547" s="253" t="str" cm="1">
        <f t="array" aca="1" ref="J547" ca="1">IFERROR(INDEX(_xlfn.ANCHORARRAY($S$12),ROW()-12+1),"")</f>
        <v>OKLO</v>
      </c>
      <c r="K547" s="70">
        <f ca="1">IF(Tabla16[[#This Row],[Ticker]]="",0,SUMIF(Tablaholdings[Ticker],Tabla16[[#This Row],[Ticker]],Tablaholdings[Peso Real en Portafolio])/100)</f>
        <v>8.7167918598675262E-5</v>
      </c>
      <c r="L547" s="220"/>
      <c r="M547" s="220"/>
      <c r="N547" s="220"/>
      <c r="O547" s="220"/>
      <c r="P547" s="220"/>
      <c r="Q547" s="220"/>
      <c r="S547" s="227" t="str">
        <f ca="1"/>
        <v>OKLO</v>
      </c>
      <c r="AB547" s="14" t="s">
        <v>1637</v>
      </c>
    </row>
    <row r="548" spans="1:28" ht="30" customHeight="1" x14ac:dyDescent="0.55000000000000004">
      <c r="A548" s="251" t="s">
        <v>1638</v>
      </c>
      <c r="B548" s="252" t="s">
        <v>1639</v>
      </c>
      <c r="C548" s="140">
        <v>4.9615556499999998E-2</v>
      </c>
      <c r="D548" s="248">
        <f t="shared" si="16"/>
        <v>4.9615556499999999E-4</v>
      </c>
      <c r="E548" s="69">
        <f t="shared" ca="1" si="17"/>
        <v>1.4891437130837177E-2</v>
      </c>
      <c r="F548" s="249" t="s">
        <v>38</v>
      </c>
      <c r="G548" s="220"/>
      <c r="H548" s="220"/>
      <c r="I548" s="220"/>
      <c r="J548" s="250" t="str" cm="1">
        <f t="array" aca="1" ref="J548" ca="1">IFERROR(INDEX(_xlfn.ANCHORARRAY($S$12),ROW()-12+1),"")</f>
        <v>GPC</v>
      </c>
      <c r="K548" s="70">
        <f ca="1">IF(Tabla16[[#This Row],[Ticker]]="",0,SUMIF(Tablaholdings[Ticker],Tabla16[[#This Row],[Ticker]],Tablaholdings[Peso Real en Portafolio])/100)</f>
        <v>8.6828184335605295E-5</v>
      </c>
      <c r="L548" s="220"/>
      <c r="M548" s="220"/>
      <c r="N548" s="220"/>
      <c r="O548" s="220"/>
      <c r="P548" s="220"/>
      <c r="Q548" s="220"/>
      <c r="S548" s="227" t="str">
        <f ca="1"/>
        <v>GPC</v>
      </c>
      <c r="AB548" s="14" t="s">
        <v>1640</v>
      </c>
    </row>
    <row r="549" spans="1:28" ht="30" customHeight="1" x14ac:dyDescent="0.55000000000000004">
      <c r="A549" s="251" t="s">
        <v>1641</v>
      </c>
      <c r="B549" s="252" t="s">
        <v>1642</v>
      </c>
      <c r="C549" s="140">
        <v>1.4728209745</v>
      </c>
      <c r="D549" s="248">
        <f t="shared" si="16"/>
        <v>1.4728209745E-2</v>
      </c>
      <c r="E549" s="69">
        <f t="shared" ca="1" si="17"/>
        <v>0.44204726287298818</v>
      </c>
      <c r="F549" s="249" t="s">
        <v>38</v>
      </c>
      <c r="G549" s="220"/>
      <c r="H549" s="220"/>
      <c r="I549" s="220"/>
      <c r="J549" s="250" t="str" cm="1">
        <f t="array" aca="1" ref="J549" ca="1">IFERROR(INDEX(_xlfn.ANCHORARRAY($S$12),ROW()-12+1),"")</f>
        <v>HST</v>
      </c>
      <c r="K549" s="70">
        <f ca="1">IF(Tabla16[[#This Row],[Ticker]]="",0,SUMIF(Tablaholdings[Ticker],Tabla16[[#This Row],[Ticker]],Tablaholdings[Peso Real en Portafolio])/100)</f>
        <v>8.6591267031077681E-5</v>
      </c>
      <c r="L549" s="220"/>
      <c r="M549" s="220"/>
      <c r="N549" s="220"/>
      <c r="O549" s="220"/>
      <c r="P549" s="220"/>
      <c r="Q549" s="220"/>
      <c r="S549" s="227" t="str">
        <f ca="1"/>
        <v>HST</v>
      </c>
      <c r="AB549" s="14" t="s">
        <v>1643</v>
      </c>
    </row>
    <row r="550" spans="1:28" ht="30" customHeight="1" x14ac:dyDescent="0.55000000000000004">
      <c r="A550" s="245" t="s">
        <v>1641</v>
      </c>
      <c r="B550" s="246" t="s">
        <v>1642</v>
      </c>
      <c r="C550" s="247">
        <v>8.7443000000000007E-2</v>
      </c>
      <c r="D550" s="248">
        <f t="shared" si="16"/>
        <v>8.7443000000000004E-4</v>
      </c>
      <c r="E550" s="69">
        <f t="shared" ca="1" si="17"/>
        <v>3.5113152304760371E-2</v>
      </c>
      <c r="F550" s="249" t="s">
        <v>37</v>
      </c>
      <c r="G550" s="220"/>
      <c r="H550" s="220"/>
      <c r="I550" s="220"/>
      <c r="J550" s="250" t="str" cm="1">
        <f t="array" aca="1" ref="J550" ca="1">IFERROR(INDEX(_xlfn.ANCHORARRAY($S$12),ROW()-12+1),"")</f>
        <v>MAS</v>
      </c>
      <c r="K550" s="70">
        <f ca="1">IF(Tabla16[[#This Row],[Ticker]]="",0,SUMIF(Tablaholdings[Ticker],Tabla16[[#This Row],[Ticker]],Tablaholdings[Peso Real en Portafolio])/100)</f>
        <v>8.6342303083946972E-5</v>
      </c>
      <c r="L550" s="220"/>
      <c r="M550" s="220"/>
      <c r="N550" s="220"/>
      <c r="O550" s="220"/>
      <c r="P550" s="220"/>
      <c r="Q550" s="220"/>
      <c r="S550" s="227" t="str">
        <f ca="1"/>
        <v>MAS</v>
      </c>
      <c r="AB550" s="14" t="s">
        <v>1644</v>
      </c>
    </row>
    <row r="551" spans="1:28" ht="30" customHeight="1" x14ac:dyDescent="0.55000000000000004">
      <c r="A551" s="251" t="s">
        <v>1645</v>
      </c>
      <c r="B551" s="252" t="s">
        <v>1646</v>
      </c>
      <c r="C551" s="140">
        <v>2.9220700299999999E-2</v>
      </c>
      <c r="D551" s="248">
        <f t="shared" si="16"/>
        <v>2.9220700299999999E-4</v>
      </c>
      <c r="E551" s="69">
        <f t="shared" ca="1" si="17"/>
        <v>8.7167918598675259E-3</v>
      </c>
      <c r="F551" s="249" t="s">
        <v>39</v>
      </c>
      <c r="G551" s="220"/>
      <c r="H551" s="220"/>
      <c r="I551" s="220"/>
      <c r="J551" s="250" t="str" cm="1">
        <f t="array" aca="1" ref="J551" ca="1">IFERROR(INDEX(_xlfn.ANCHORARRAY($S$12),ROW()-12+1),"")</f>
        <v>DOC</v>
      </c>
      <c r="K551" s="70">
        <f ca="1">IF(Tabla16[[#This Row],[Ticker]]="",0,SUMIF(Tablaholdings[Ticker],Tabla16[[#This Row],[Ticker]],Tablaholdings[Peso Real en Portafolio])/100)</f>
        <v>8.565162890803593E-5</v>
      </c>
      <c r="L551" s="220"/>
      <c r="M551" s="220"/>
      <c r="N551" s="220"/>
      <c r="O551" s="220"/>
      <c r="P551" s="220"/>
      <c r="Q551" s="220"/>
      <c r="S551" s="227" t="str">
        <f ca="1"/>
        <v>DOC</v>
      </c>
      <c r="AB551" s="14" t="s">
        <v>1647</v>
      </c>
    </row>
    <row r="552" spans="1:28" ht="30" customHeight="1" x14ac:dyDescent="0.55000000000000004">
      <c r="A552" s="251" t="s">
        <v>1648</v>
      </c>
      <c r="B552" s="252" t="s">
        <v>1649</v>
      </c>
      <c r="C552" s="140">
        <v>4.8780400000000002E-2</v>
      </c>
      <c r="D552" s="248">
        <f t="shared" si="16"/>
        <v>4.8780399999999999E-4</v>
      </c>
      <c r="E552" s="69">
        <f t="shared" ca="1" si="17"/>
        <v>1.4551622284051895E-2</v>
      </c>
      <c r="F552" s="249" t="s">
        <v>39</v>
      </c>
      <c r="G552" s="220"/>
      <c r="H552" s="220"/>
      <c r="I552" s="220"/>
      <c r="J552" s="250" t="str" cm="1">
        <f t="array" aca="1" ref="J552" ca="1">IFERROR(INDEX(_xlfn.ANCHORARRAY($S$12),ROW()-12+1),"")</f>
        <v>CSGP</v>
      </c>
      <c r="K552" s="70">
        <f ca="1">IF(Tabla16[[#This Row],[Ticker]]="",0,SUMIF(Tablaholdings[Ticker],Tabla16[[#This Row],[Ticker]],Tablaholdings[Peso Real en Portafolio])/100)</f>
        <v>8.5270151892271115E-5</v>
      </c>
      <c r="L552" s="220"/>
      <c r="M552" s="220"/>
      <c r="N552" s="220"/>
      <c r="O552" s="220"/>
      <c r="P552" s="220"/>
      <c r="Q552" s="220"/>
      <c r="S552" s="227" t="str">
        <f ca="1"/>
        <v>CSGP</v>
      </c>
      <c r="AB552" s="14" t="s">
        <v>1650</v>
      </c>
    </row>
    <row r="553" spans="1:28" ht="30" customHeight="1" x14ac:dyDescent="0.55000000000000004">
      <c r="A553" s="251" t="s">
        <v>1651</v>
      </c>
      <c r="B553" s="252" t="s">
        <v>1652</v>
      </c>
      <c r="C553" s="140">
        <v>1.44018336E-2</v>
      </c>
      <c r="D553" s="248">
        <f t="shared" si="16"/>
        <v>1.44018336E-4</v>
      </c>
      <c r="E553" s="69">
        <f t="shared" ca="1" si="17"/>
        <v>4.2961936094203269E-3</v>
      </c>
      <c r="F553" s="249" t="s">
        <v>39</v>
      </c>
      <c r="G553" s="220"/>
      <c r="H553" s="220"/>
      <c r="I553" s="220"/>
      <c r="J553" s="250" t="str" cm="1">
        <f t="array" aca="1" ref="J553" ca="1">IFERROR(INDEX(_xlfn.ANCHORARRAY($S$12),ROW()-12+1),"")</f>
        <v>FOXA</v>
      </c>
      <c r="K553" s="70">
        <f ca="1">IF(Tabla16[[#This Row],[Ticker]]="",0,SUMIF(Tablaholdings[Ticker],Tabla16[[#This Row],[Ticker]],Tablaholdings[Peso Real en Portafolio])/100)</f>
        <v>8.3957067848533306E-5</v>
      </c>
      <c r="L553" s="220"/>
      <c r="M553" s="220"/>
      <c r="N553" s="220"/>
      <c r="O553" s="220"/>
      <c r="P553" s="220"/>
      <c r="Q553" s="220"/>
      <c r="S553" s="227" t="str">
        <f ca="1"/>
        <v>FOXA</v>
      </c>
      <c r="AB553" s="14" t="s">
        <v>1653</v>
      </c>
    </row>
    <row r="554" spans="1:28" ht="30" customHeight="1" x14ac:dyDescent="0.55000000000000004">
      <c r="A554" s="245" t="s">
        <v>1654</v>
      </c>
      <c r="B554" s="246" t="s">
        <v>1655</v>
      </c>
      <c r="C554" s="247">
        <v>3.6615000000000002E-2</v>
      </c>
      <c r="D554" s="248">
        <f t="shared" si="16"/>
        <v>3.6615000000000004E-4</v>
      </c>
      <c r="E554" s="69">
        <f t="shared" ca="1" si="17"/>
        <v>1.4702927297082682E-2</v>
      </c>
      <c r="F554" s="249" t="s">
        <v>37</v>
      </c>
      <c r="G554" s="220"/>
      <c r="H554" s="220"/>
      <c r="I554" s="220"/>
      <c r="J554" s="250" t="str" cm="1">
        <f t="array" aca="1" ref="J554" ca="1">IFERROR(INDEX(_xlfn.ANCHORARRAY($S$12),ROW()-12+1),"")</f>
        <v>HII</v>
      </c>
      <c r="K554" s="70">
        <f ca="1">IF(Tabla16[[#This Row],[Ticker]]="",0,SUMIF(Tablaholdings[Ticker],Tabla16[[#This Row],[Ticker]],Tablaholdings[Peso Real en Portafolio])/100)</f>
        <v>8.3346704623309608E-5</v>
      </c>
      <c r="L554" s="220"/>
      <c r="M554" s="220"/>
      <c r="N554" s="220"/>
      <c r="O554" s="220"/>
      <c r="P554" s="220"/>
      <c r="Q554" s="220"/>
      <c r="S554" s="227" t="str">
        <f ca="1"/>
        <v>HII</v>
      </c>
      <c r="AB554" s="14" t="s">
        <v>1656</v>
      </c>
    </row>
    <row r="555" spans="1:28" ht="30" customHeight="1" x14ac:dyDescent="0.55000000000000004">
      <c r="A555" s="245" t="s">
        <v>1657</v>
      </c>
      <c r="B555" s="246" t="s">
        <v>1658</v>
      </c>
      <c r="C555" s="247">
        <v>7.1327000000000002E-2</v>
      </c>
      <c r="D555" s="248">
        <f t="shared" si="16"/>
        <v>7.1327000000000001E-4</v>
      </c>
      <c r="E555" s="69">
        <f t="shared" ca="1" si="17"/>
        <v>2.8641695898375431E-2</v>
      </c>
      <c r="F555" s="249" t="s">
        <v>37</v>
      </c>
      <c r="G555" s="220"/>
      <c r="H555" s="220"/>
      <c r="I555" s="220"/>
      <c r="J555" s="250" t="str" cm="1">
        <f t="array" aca="1" ref="J555" ca="1">IFERROR(INDEX(_xlfn.ANCHORARRAY($S$12),ROW()-12+1),"")</f>
        <v>CDW</v>
      </c>
      <c r="K555" s="70">
        <f ca="1">IF(Tabla16[[#This Row],[Ticker]]="",0,SUMIF(Tablaholdings[Ticker],Tabla16[[#This Row],[Ticker]],Tablaholdings[Peso Real en Portafolio])/100)</f>
        <v>8.2250460146427573E-5</v>
      </c>
      <c r="L555" s="220"/>
      <c r="M555" s="220"/>
      <c r="N555" s="220"/>
      <c r="O555" s="220"/>
      <c r="P555" s="220"/>
      <c r="Q555" s="220"/>
      <c r="S555" s="227" t="str">
        <f ca="1"/>
        <v>CDW</v>
      </c>
      <c r="AB555" s="14" t="s">
        <v>1659</v>
      </c>
    </row>
    <row r="556" spans="1:28" ht="30" customHeight="1" x14ac:dyDescent="0.55000000000000004">
      <c r="A556" s="245" t="s">
        <v>1660</v>
      </c>
      <c r="B556" s="246" t="s">
        <v>1661</v>
      </c>
      <c r="C556" s="247">
        <v>0.50398399999999999</v>
      </c>
      <c r="D556" s="248">
        <f t="shared" si="16"/>
        <v>5.0398400000000003E-3</v>
      </c>
      <c r="E556" s="69">
        <f t="shared" ca="1" si="17"/>
        <v>0.20237717085601303</v>
      </c>
      <c r="F556" s="249" t="s">
        <v>37</v>
      </c>
      <c r="G556" s="220"/>
      <c r="H556" s="220"/>
      <c r="I556" s="220"/>
      <c r="J556" s="250" t="str" cm="1">
        <f t="array" aca="1" ref="J556" ca="1">IFERROR(INDEX(_xlfn.ANCHORARRAY($S$12),ROW()-12+1),"")</f>
        <v>TRMB</v>
      </c>
      <c r="K556" s="70">
        <f ca="1">IF(Tabla16[[#This Row],[Ticker]]="",0,SUMIF(Tablaholdings[Ticker],Tabla16[[#This Row],[Ticker]],Tablaholdings[Peso Real en Portafolio])/100)</f>
        <v>8.199346510422812E-5</v>
      </c>
      <c r="L556" s="220"/>
      <c r="M556" s="220"/>
      <c r="N556" s="220"/>
      <c r="O556" s="220"/>
      <c r="P556" s="220"/>
      <c r="Q556" s="220"/>
      <c r="S556" s="227" t="str">
        <f ca="1"/>
        <v>TRMB</v>
      </c>
      <c r="AB556" s="14" t="s">
        <v>1662</v>
      </c>
    </row>
    <row r="557" spans="1:28" ht="30" customHeight="1" x14ac:dyDescent="0.55000000000000004">
      <c r="A557" s="251" t="s">
        <v>1663</v>
      </c>
      <c r="B557" s="252" t="s">
        <v>1664</v>
      </c>
      <c r="C557" s="140">
        <v>0.22898949399999999</v>
      </c>
      <c r="D557" s="248">
        <f t="shared" si="16"/>
        <v>2.2898949399999999E-3</v>
      </c>
      <c r="E557" s="69">
        <f t="shared" ca="1" si="17"/>
        <v>6.8728094454069397E-2</v>
      </c>
      <c r="F557" s="249" t="s">
        <v>38</v>
      </c>
      <c r="G557" s="220"/>
      <c r="H557" s="220"/>
      <c r="I557" s="220"/>
      <c r="J557" s="253" t="str" cm="1">
        <f t="array" aca="1" ref="J557" ca="1">IFERROR(INDEX(_xlfn.ANCHORARRAY($S$12),ROW()-12+1),"")</f>
        <v>RL</v>
      </c>
      <c r="K557" s="70">
        <f ca="1">IF(Tabla16[[#This Row],[Ticker]]="",0,SUMIF(Tablaholdings[Ticker],Tabla16[[#This Row],[Ticker]],Tablaholdings[Peso Real en Portafolio])/100)</f>
        <v>8.159191035079148E-5</v>
      </c>
      <c r="L557" s="220"/>
      <c r="M557" s="220"/>
      <c r="N557" s="220"/>
      <c r="O557" s="220"/>
      <c r="P557" s="220"/>
      <c r="Q557" s="220"/>
      <c r="S557" s="227" t="str">
        <f ca="1"/>
        <v>RL</v>
      </c>
      <c r="AB557" s="14" t="s">
        <v>1665</v>
      </c>
    </row>
    <row r="558" spans="1:28" ht="30" customHeight="1" x14ac:dyDescent="0.55000000000000004">
      <c r="A558" s="251" t="s">
        <v>1666</v>
      </c>
      <c r="B558" s="252" t="s">
        <v>1667</v>
      </c>
      <c r="C558" s="140">
        <v>0.2663554615</v>
      </c>
      <c r="D558" s="248">
        <f t="shared" si="16"/>
        <v>2.663554615E-3</v>
      </c>
      <c r="E558" s="69">
        <f t="shared" ca="1" si="17"/>
        <v>7.9456176436485282E-2</v>
      </c>
      <c r="F558" s="249" t="s">
        <v>39</v>
      </c>
      <c r="G558" s="220"/>
      <c r="H558" s="220"/>
      <c r="I558" s="220"/>
      <c r="J558" s="250" t="str" cm="1">
        <f t="array" aca="1" ref="J558" ca="1">IFERROR(INDEX(_xlfn.ANCHORARRAY($S$12),ROW()-12+1),"")</f>
        <v>CAVA</v>
      </c>
      <c r="K558" s="70">
        <f ca="1">IF(Tabla16[[#This Row],[Ticker]]="",0,SUMIF(Tablaholdings[Ticker],Tabla16[[#This Row],[Ticker]],Tablaholdings[Peso Real en Portafolio])/100)</f>
        <v>8.1468665553756435E-5</v>
      </c>
      <c r="L558" s="220"/>
      <c r="M558" s="220"/>
      <c r="N558" s="220"/>
      <c r="O558" s="220"/>
      <c r="P558" s="220"/>
      <c r="Q558" s="220"/>
      <c r="S558" s="227" t="str">
        <f ca="1"/>
        <v>CAVA</v>
      </c>
      <c r="AB558" s="14" t="s">
        <v>1668</v>
      </c>
    </row>
    <row r="559" spans="1:28" ht="30" customHeight="1" x14ac:dyDescent="0.55000000000000004">
      <c r="A559" s="245" t="s">
        <v>1666</v>
      </c>
      <c r="B559" s="246" t="s">
        <v>1667</v>
      </c>
      <c r="C559" s="247">
        <v>0.11821</v>
      </c>
      <c r="D559" s="248">
        <f t="shared" si="16"/>
        <v>1.1820999999999999E-3</v>
      </c>
      <c r="E559" s="69">
        <f t="shared" ca="1" si="17"/>
        <v>4.7467787403745562E-2</v>
      </c>
      <c r="F559" s="249" t="s">
        <v>37</v>
      </c>
      <c r="G559" s="220"/>
      <c r="H559" s="220"/>
      <c r="I559" s="220"/>
      <c r="J559" s="250" t="str" cm="1">
        <f t="array" aca="1" ref="J559" ca="1">IFERROR(INDEX(_xlfn.ANCHORARRAY($S$12),ROW()-12+1),"")</f>
        <v>GEN</v>
      </c>
      <c r="K559" s="70">
        <f ca="1">IF(Tabla16[[#This Row],[Ticker]]="",0,SUMIF(Tablaholdings[Ticker],Tabla16[[#This Row],[Ticker]],Tablaholdings[Peso Real en Portafolio])/100)</f>
        <v>8.0688412155559028E-5</v>
      </c>
      <c r="L559" s="220"/>
      <c r="M559" s="220"/>
      <c r="N559" s="220"/>
      <c r="O559" s="220"/>
      <c r="P559" s="220"/>
      <c r="Q559" s="220"/>
      <c r="S559" s="227" t="str">
        <f ca="1"/>
        <v>GEN</v>
      </c>
      <c r="AB559" s="14" t="s">
        <v>1669</v>
      </c>
    </row>
    <row r="560" spans="1:28" ht="30" customHeight="1" x14ac:dyDescent="0.55000000000000004">
      <c r="A560" s="251" t="s">
        <v>1670</v>
      </c>
      <c r="B560" s="252" t="s">
        <v>1671</v>
      </c>
      <c r="C560" s="140">
        <v>1.7949240500000001E-2</v>
      </c>
      <c r="D560" s="248">
        <f t="shared" si="16"/>
        <v>1.7949240500000002E-4</v>
      </c>
      <c r="E560" s="69">
        <f t="shared" ca="1" si="17"/>
        <v>5.3872213738452475E-3</v>
      </c>
      <c r="F560" s="249" t="s">
        <v>38</v>
      </c>
      <c r="G560" s="220"/>
      <c r="H560" s="220"/>
      <c r="I560" s="220"/>
      <c r="J560" s="250" t="str" cm="1">
        <f t="array" aca="1" ref="J560" ca="1">IFERROR(INDEX(_xlfn.ANCHORARRAY($S$12),ROW()-12+1),"")</f>
        <v>NSP</v>
      </c>
      <c r="K560" s="70">
        <f ca="1">IF(Tabla16[[#This Row],[Ticker]]="",0,SUMIF(Tablaholdings[Ticker],Tabla16[[#This Row],[Ticker]],Tablaholdings[Peso Real en Portafolio])/100)</f>
        <v>7.9685210451563911E-5</v>
      </c>
      <c r="L560" s="220"/>
      <c r="M560" s="220"/>
      <c r="N560" s="220"/>
      <c r="O560" s="220"/>
      <c r="P560" s="220"/>
      <c r="Q560" s="220"/>
      <c r="S560" s="227" t="str">
        <f ca="1"/>
        <v>NSP</v>
      </c>
      <c r="AB560" s="14" t="s">
        <v>1672</v>
      </c>
    </row>
    <row r="561" spans="1:28" ht="30" customHeight="1" x14ac:dyDescent="0.55000000000000004">
      <c r="A561" s="245" t="s">
        <v>1673</v>
      </c>
      <c r="B561" s="246" t="s">
        <v>1674</v>
      </c>
      <c r="C561" s="247">
        <v>4.4601000000000002E-2</v>
      </c>
      <c r="D561" s="248">
        <f t="shared" si="16"/>
        <v>4.4600999999999999E-4</v>
      </c>
      <c r="E561" s="69">
        <f t="shared" ca="1" si="17"/>
        <v>1.7909743558027713E-2</v>
      </c>
      <c r="F561" s="249" t="s">
        <v>37</v>
      </c>
      <c r="G561" s="220"/>
      <c r="H561" s="220"/>
      <c r="I561" s="220"/>
      <c r="J561" s="250" t="str" cm="1">
        <f t="array" aca="1" ref="J561" ca="1">IFERROR(INDEX(_xlfn.ANCHORARRAY($S$12),ROW()-12+1),"")</f>
        <v>PFBC</v>
      </c>
      <c r="K561" s="70">
        <f ca="1">IF(Tabla16[[#This Row],[Ticker]]="",0,SUMIF(Tablaholdings[Ticker],Tabla16[[#This Row],[Ticker]],Tablaholdings[Peso Real en Portafolio])/100)</f>
        <v>7.9310786024804948E-5</v>
      </c>
      <c r="L561" s="220"/>
      <c r="M561" s="220"/>
      <c r="N561" s="220"/>
      <c r="O561" s="220"/>
      <c r="P561" s="220"/>
      <c r="Q561" s="220"/>
      <c r="S561" s="227" t="str">
        <f ca="1"/>
        <v>PFBC</v>
      </c>
      <c r="AB561" s="14" t="s">
        <v>1675</v>
      </c>
    </row>
    <row r="562" spans="1:28" ht="30" customHeight="1" x14ac:dyDescent="0.55000000000000004">
      <c r="A562" s="251" t="s">
        <v>1676</v>
      </c>
      <c r="B562" s="252" t="s">
        <v>1677</v>
      </c>
      <c r="C562" s="140">
        <v>1.4463939E-2</v>
      </c>
      <c r="D562" s="248">
        <f t="shared" si="16"/>
        <v>1.4463939E-4</v>
      </c>
      <c r="E562" s="69">
        <f t="shared" ca="1" si="17"/>
        <v>4.3411553447508739E-3</v>
      </c>
      <c r="F562" s="249" t="s">
        <v>38</v>
      </c>
      <c r="G562" s="220"/>
      <c r="H562" s="220"/>
      <c r="I562" s="220"/>
      <c r="J562" s="253" t="str" cm="1">
        <f t="array" aca="1" ref="J562" ca="1">IFERROR(INDEX(_xlfn.ANCHORARRAY($S$12),ROW()-12+1),"")</f>
        <v>REG</v>
      </c>
      <c r="K562" s="70">
        <f ca="1">IF(Tabla16[[#This Row],[Ticker]]="",0,SUMIF(Tablaholdings[Ticker],Tabla16[[#This Row],[Ticker]],Tablaholdings[Peso Real en Portafolio])/100)</f>
        <v>7.9110301974553022E-5</v>
      </c>
      <c r="L562" s="220"/>
      <c r="M562" s="220"/>
      <c r="N562" s="220"/>
      <c r="O562" s="220"/>
      <c r="P562" s="220"/>
      <c r="Q562" s="220"/>
      <c r="S562" s="227" t="str">
        <f ca="1"/>
        <v>REG</v>
      </c>
      <c r="AB562" s="14" t="s">
        <v>1678</v>
      </c>
    </row>
    <row r="563" spans="1:28" ht="30" customHeight="1" x14ac:dyDescent="0.55000000000000004">
      <c r="A563" s="245" t="s">
        <v>1679</v>
      </c>
      <c r="B563" s="246" t="s">
        <v>1680</v>
      </c>
      <c r="C563" s="247">
        <v>6.3231999999999997E-2</v>
      </c>
      <c r="D563" s="248">
        <f t="shared" si="16"/>
        <v>6.3232000000000002E-4</v>
      </c>
      <c r="E563" s="69">
        <f t="shared" ca="1" si="17"/>
        <v>2.5391110169305803E-2</v>
      </c>
      <c r="F563" s="249" t="s">
        <v>37</v>
      </c>
      <c r="G563" s="220"/>
      <c r="H563" s="220"/>
      <c r="I563" s="220"/>
      <c r="J563" s="250" t="str" cm="1">
        <f t="array" aca="1" ref="J563" ca="1">IFERROR(INDEX(_xlfn.ANCHORARRAY($S$12),ROW()-12+1),"")</f>
        <v>J</v>
      </c>
      <c r="K563" s="70">
        <f ca="1">IF(Tabla16[[#This Row],[Ticker]]="",0,SUMIF(Tablaholdings[Ticker],Tabla16[[#This Row],[Ticker]],Tablaholdings[Peso Real en Portafolio])/100)</f>
        <v>7.9098255331949927E-5</v>
      </c>
      <c r="L563" s="220"/>
      <c r="M563" s="220"/>
      <c r="N563" s="220"/>
      <c r="O563" s="220"/>
      <c r="P563" s="220"/>
      <c r="Q563" s="220"/>
      <c r="S563" s="227" t="str">
        <f ca="1"/>
        <v>J</v>
      </c>
      <c r="AB563" s="14" t="s">
        <v>1681</v>
      </c>
    </row>
    <row r="564" spans="1:28" ht="30" customHeight="1" x14ac:dyDescent="0.55000000000000004">
      <c r="A564" s="251" t="s">
        <v>1682</v>
      </c>
      <c r="B564" s="252" t="s">
        <v>1683</v>
      </c>
      <c r="C564" s="140">
        <v>0.125847397</v>
      </c>
      <c r="D564" s="248">
        <f t="shared" si="16"/>
        <v>1.25847397E-3</v>
      </c>
      <c r="E564" s="69">
        <f t="shared" ca="1" si="17"/>
        <v>3.7771391327738255E-2</v>
      </c>
      <c r="F564" s="249" t="s">
        <v>38</v>
      </c>
      <c r="G564" s="220"/>
      <c r="H564" s="220"/>
      <c r="I564" s="220"/>
      <c r="J564" s="250" t="str" cm="1">
        <f t="array" aca="1" ref="J564" ca="1">IFERROR(INDEX(_xlfn.ANCHORARRAY($S$12),ROW()-12+1),"")</f>
        <v>HAS</v>
      </c>
      <c r="K564" s="70">
        <f ca="1">IF(Tabla16[[#This Row],[Ticker]]="",0,SUMIF(Tablaholdings[Ticker],Tabla16[[#This Row],[Ticker]],Tablaholdings[Peso Real en Portafolio])/100)</f>
        <v>7.8793073719338064E-5</v>
      </c>
      <c r="L564" s="220"/>
      <c r="M564" s="220"/>
      <c r="N564" s="220"/>
      <c r="O564" s="220"/>
      <c r="P564" s="220"/>
      <c r="Q564" s="220"/>
      <c r="S564" s="227" t="str">
        <f ca="1"/>
        <v>HAS</v>
      </c>
      <c r="AB564" s="14" t="s">
        <v>1684</v>
      </c>
    </row>
    <row r="565" spans="1:28" ht="30" customHeight="1" x14ac:dyDescent="0.55000000000000004">
      <c r="A565" s="251" t="s">
        <v>1685</v>
      </c>
      <c r="B565" s="252" t="s">
        <v>1686</v>
      </c>
      <c r="C565" s="140">
        <v>8.0365051000000007E-2</v>
      </c>
      <c r="D565" s="248">
        <f t="shared" si="16"/>
        <v>8.0365051000000007E-4</v>
      </c>
      <c r="E565" s="69">
        <f t="shared" ca="1" si="17"/>
        <v>2.4120481334982579E-2</v>
      </c>
      <c r="F565" s="249" t="s">
        <v>38</v>
      </c>
      <c r="G565" s="220"/>
      <c r="H565" s="220"/>
      <c r="I565" s="220"/>
      <c r="J565" s="253" t="str" cm="1">
        <f t="array" aca="1" ref="J565" ca="1">IFERROR(INDEX(_xlfn.ANCHORARRAY($S$12),ROW()-12+1),"")</f>
        <v>IVZ</v>
      </c>
      <c r="K565" s="70">
        <f ca="1">IF(Tabla16[[#This Row],[Ticker]]="",0,SUMIF(Tablaholdings[Ticker],Tabla16[[#This Row],[Ticker]],Tablaholdings[Peso Real en Portafolio])/100)</f>
        <v>7.8760949339063129E-5</v>
      </c>
      <c r="L565" s="220"/>
      <c r="M565" s="220"/>
      <c r="N565" s="220"/>
      <c r="O565" s="220"/>
      <c r="P565" s="220"/>
      <c r="Q565" s="220"/>
      <c r="S565" s="227" t="str">
        <f ca="1"/>
        <v>IVZ</v>
      </c>
      <c r="AB565" s="14" t="s">
        <v>1687</v>
      </c>
    </row>
    <row r="566" spans="1:28" ht="30" customHeight="1" x14ac:dyDescent="0.55000000000000004">
      <c r="A566" s="251" t="s">
        <v>1688</v>
      </c>
      <c r="B566" s="252" t="s">
        <v>1689</v>
      </c>
      <c r="C566" s="140">
        <v>0.68011607590000001</v>
      </c>
      <c r="D566" s="248">
        <f t="shared" si="16"/>
        <v>6.8011607589999997E-3</v>
      </c>
      <c r="E566" s="69">
        <f t="shared" ca="1" si="17"/>
        <v>0.20288460623136279</v>
      </c>
      <c r="F566" s="249" t="s">
        <v>39</v>
      </c>
      <c r="G566" s="220"/>
      <c r="H566" s="220"/>
      <c r="I566" s="220"/>
      <c r="J566" s="250" t="str" cm="1">
        <f t="array" aca="1" ref="J566" ca="1">IFERROR(INDEX(_xlfn.ANCHORARRAY($S$12),ROW()-12+1),"")</f>
        <v>CHTR</v>
      </c>
      <c r="K566" s="70">
        <f ca="1">IF(Tabla16[[#This Row],[Ticker]]="",0,SUMIF(Tablaholdings[Ticker],Tabla16[[#This Row],[Ticker]],Tablaholdings[Peso Real en Portafolio])/100)</f>
        <v>7.752014515094392E-5</v>
      </c>
      <c r="L566" s="220"/>
      <c r="M566" s="220"/>
      <c r="N566" s="220"/>
      <c r="O566" s="220"/>
      <c r="P566" s="220"/>
      <c r="Q566" s="220"/>
      <c r="S566" s="227" t="str">
        <f ca="1"/>
        <v>CHTR</v>
      </c>
      <c r="AB566" s="14" t="s">
        <v>1690</v>
      </c>
    </row>
    <row r="567" spans="1:28" ht="30" customHeight="1" x14ac:dyDescent="0.55000000000000004">
      <c r="A567" s="245" t="s">
        <v>1688</v>
      </c>
      <c r="B567" s="246" t="s">
        <v>1689</v>
      </c>
      <c r="C567" s="247">
        <v>0.28820200000000001</v>
      </c>
      <c r="D567" s="248">
        <f t="shared" si="16"/>
        <v>2.8820200000000003E-3</v>
      </c>
      <c r="E567" s="69">
        <f t="shared" ca="1" si="17"/>
        <v>0.11572888304994737</v>
      </c>
      <c r="F567" s="249" t="s">
        <v>37</v>
      </c>
      <c r="G567" s="220"/>
      <c r="H567" s="220"/>
      <c r="I567" s="220"/>
      <c r="J567" s="250" t="str" cm="1">
        <f t="array" aca="1" ref="J567" ca="1">IFERROR(INDEX(_xlfn.ANCHORARRAY($S$12),ROW()-12+1),"")</f>
        <v>AVY</v>
      </c>
      <c r="K567" s="70">
        <f ca="1">IF(Tabla16[[#This Row],[Ticker]]="",0,SUMIF(Tablaholdings[Ticker],Tabla16[[#This Row],[Ticker]],Tablaholdings[Peso Real en Portafolio])/100)</f>
        <v>7.661263140817709E-5</v>
      </c>
      <c r="L567" s="220"/>
      <c r="M567" s="220"/>
      <c r="N567" s="220"/>
      <c r="O567" s="220"/>
      <c r="P567" s="220"/>
      <c r="Q567" s="220"/>
      <c r="S567" s="227" t="str">
        <f ca="1"/>
        <v>AVY</v>
      </c>
      <c r="AB567" s="14" t="s">
        <v>1691</v>
      </c>
    </row>
    <row r="568" spans="1:28" ht="30" customHeight="1" x14ac:dyDescent="0.55000000000000004">
      <c r="A568" s="251" t="s">
        <v>1692</v>
      </c>
      <c r="B568" s="252" t="s">
        <v>1693</v>
      </c>
      <c r="C568" s="140">
        <v>2.2674479899999999E-2</v>
      </c>
      <c r="D568" s="248">
        <f t="shared" si="16"/>
        <v>2.26744799E-4</v>
      </c>
      <c r="E568" s="69">
        <f t="shared" ca="1" si="17"/>
        <v>6.7639967485327458E-3</v>
      </c>
      <c r="F568" s="249" t="s">
        <v>39</v>
      </c>
      <c r="G568" s="220"/>
      <c r="H568" s="220"/>
      <c r="I568" s="220"/>
      <c r="J568" s="250" t="str" cm="1">
        <f t="array" aca="1" ref="J568" ca="1">IFERROR(INDEX(_xlfn.ANCHORARRAY($S$12),ROW()-12+1),"")</f>
        <v>GL</v>
      </c>
      <c r="K568" s="70">
        <f ca="1">IF(Tabla16[[#This Row],[Ticker]]="",0,SUMIF(Tablaholdings[Ticker],Tabla16[[#This Row],[Ticker]],Tablaholdings[Peso Real en Portafolio])/100)</f>
        <v>7.6480118339543012E-5</v>
      </c>
      <c r="L568" s="220"/>
      <c r="M568" s="220"/>
      <c r="N568" s="220"/>
      <c r="O568" s="220"/>
      <c r="P568" s="220"/>
      <c r="Q568" s="220"/>
      <c r="S568" s="227" t="str">
        <f ca="1"/>
        <v>GL</v>
      </c>
      <c r="AB568" s="14" t="s">
        <v>1694</v>
      </c>
    </row>
    <row r="569" spans="1:28" ht="30" customHeight="1" x14ac:dyDescent="0.55000000000000004">
      <c r="A569" s="251" t="s">
        <v>1695</v>
      </c>
      <c r="B569" s="252" t="s">
        <v>1696</v>
      </c>
      <c r="C569" s="140">
        <v>0.73789661470000001</v>
      </c>
      <c r="D569" s="248">
        <f t="shared" si="16"/>
        <v>7.3789661469999997E-3</v>
      </c>
      <c r="E569" s="69">
        <f t="shared" ca="1" si="17"/>
        <v>0.2214696724577227</v>
      </c>
      <c r="F569" s="249" t="s">
        <v>38</v>
      </c>
      <c r="G569" s="220"/>
      <c r="H569" s="220"/>
      <c r="I569" s="220"/>
      <c r="J569" s="250" t="str" cm="1">
        <f t="array" aca="1" ref="J569" ca="1">IFERROR(INDEX(_xlfn.ANCHORARRAY($S$12),ROW()-12+1),"")</f>
        <v>ZBRA</v>
      </c>
      <c r="K569" s="70">
        <f ca="1">IF(Tabla16[[#This Row],[Ticker]]="",0,SUMIF(Tablaholdings[Ticker],Tabla16[[#This Row],[Ticker]],Tablaholdings[Peso Real en Portafolio])/100)</f>
        <v>7.6395791841321316E-5</v>
      </c>
      <c r="L569" s="220"/>
      <c r="M569" s="220"/>
      <c r="N569" s="220"/>
      <c r="O569" s="220"/>
      <c r="P569" s="220"/>
      <c r="Q569" s="220"/>
      <c r="S569" s="227" t="str">
        <f ca="1"/>
        <v>ZBRA</v>
      </c>
      <c r="AB569" s="14" t="s">
        <v>1697</v>
      </c>
    </row>
    <row r="570" spans="1:28" ht="30" customHeight="1" x14ac:dyDescent="0.55000000000000004">
      <c r="A570" s="245" t="s">
        <v>1695</v>
      </c>
      <c r="B570" s="246" t="s">
        <v>1696</v>
      </c>
      <c r="C570" s="247">
        <v>4.5541999999999999E-2</v>
      </c>
      <c r="D570" s="248">
        <f t="shared" si="16"/>
        <v>4.5542E-4</v>
      </c>
      <c r="E570" s="69">
        <f t="shared" ca="1" si="17"/>
        <v>1.8287606581011591E-2</v>
      </c>
      <c r="F570" s="249" t="s">
        <v>37</v>
      </c>
      <c r="G570" s="220"/>
      <c r="H570" s="220"/>
      <c r="I570" s="220"/>
      <c r="J570" s="250" t="str" cm="1">
        <f t="array" aca="1" ref="J570" ca="1">IFERROR(INDEX(_xlfn.ANCHORARRAY($S$12),ROW()-12+1),"")</f>
        <v>AIZ</v>
      </c>
      <c r="K570" s="70">
        <f ca="1">IF(Tabla16[[#This Row],[Ticker]]="",0,SUMIF(Tablaholdings[Ticker],Tabla16[[#This Row],[Ticker]],Tablaholdings[Peso Real en Portafolio])/100)</f>
        <v>7.6231154392412303E-5</v>
      </c>
      <c r="L570" s="220"/>
      <c r="M570" s="220"/>
      <c r="N570" s="220"/>
      <c r="O570" s="220"/>
      <c r="P570" s="220"/>
      <c r="Q570" s="220"/>
      <c r="S570" s="227" t="str">
        <f ca="1"/>
        <v>AIZ</v>
      </c>
      <c r="AB570" s="14" t="s">
        <v>1698</v>
      </c>
    </row>
    <row r="571" spans="1:28" ht="30" customHeight="1" x14ac:dyDescent="0.55000000000000004">
      <c r="A571" s="245" t="s">
        <v>1699</v>
      </c>
      <c r="B571" s="246" t="s">
        <v>1700</v>
      </c>
      <c r="C571" s="247">
        <v>9.1879000000000002E-2</v>
      </c>
      <c r="D571" s="248">
        <f t="shared" si="16"/>
        <v>9.1879000000000006E-4</v>
      </c>
      <c r="E571" s="69">
        <f t="shared" ca="1" si="17"/>
        <v>3.6894449191005319E-2</v>
      </c>
      <c r="F571" s="249" t="s">
        <v>37</v>
      </c>
      <c r="G571" s="220"/>
      <c r="H571" s="220"/>
      <c r="I571" s="220"/>
      <c r="J571" s="250" t="str" cm="1">
        <f t="array" aca="1" ref="J571" ca="1">IFERROR(INDEX(_xlfn.ANCHORARRAY($S$12),ROW()-12+1),"")</f>
        <v>SWK</v>
      </c>
      <c r="K571" s="70">
        <f ca="1">IF(Tabla16[[#This Row],[Ticker]]="",0,SUMIF(Tablaholdings[Ticker],Tabla16[[#This Row],[Ticker]],Tablaholdings[Peso Real en Portafolio])/100)</f>
        <v>7.5837630734044379E-5</v>
      </c>
      <c r="L571" s="220"/>
      <c r="M571" s="220"/>
      <c r="N571" s="220"/>
      <c r="O571" s="220"/>
      <c r="P571" s="220"/>
      <c r="Q571" s="220"/>
      <c r="S571" s="227" t="str">
        <f ca="1"/>
        <v>SWK</v>
      </c>
      <c r="AB571" s="14" t="s">
        <v>1701</v>
      </c>
    </row>
    <row r="572" spans="1:28" ht="30" customHeight="1" x14ac:dyDescent="0.55000000000000004">
      <c r="A572" s="245" t="s">
        <v>1702</v>
      </c>
      <c r="B572" s="246" t="s">
        <v>1703</v>
      </c>
      <c r="C572" s="247">
        <v>5.7071999999999998E-2</v>
      </c>
      <c r="D572" s="248">
        <f t="shared" si="16"/>
        <v>5.7071999999999993E-4</v>
      </c>
      <c r="E572" s="69">
        <f t="shared" ca="1" si="17"/>
        <v>2.2917532888136083E-2</v>
      </c>
      <c r="F572" s="249" t="s">
        <v>37</v>
      </c>
      <c r="G572" s="220"/>
      <c r="H572" s="220"/>
      <c r="I572" s="220"/>
      <c r="J572" s="250" t="str" cm="1">
        <f t="array" aca="1" ref="J572" ca="1">IFERROR(INDEX(_xlfn.ANCHORARRAY($S$12),ROW()-12+1),"")</f>
        <v>PNR</v>
      </c>
      <c r="K572" s="70">
        <f ca="1">IF(Tabla16[[#This Row],[Ticker]]="",0,SUMIF(Tablaholdings[Ticker],Tabla16[[#This Row],[Ticker]],Tablaholdings[Peso Real en Portafolio])/100)</f>
        <v>7.5556542406638735E-5</v>
      </c>
      <c r="L572" s="220"/>
      <c r="M572" s="220"/>
      <c r="N572" s="220"/>
      <c r="O572" s="220"/>
      <c r="P572" s="220"/>
      <c r="Q572" s="220"/>
      <c r="S572" s="227" t="str">
        <f ca="1"/>
        <v>PNR</v>
      </c>
      <c r="AB572" s="14" t="s">
        <v>1704</v>
      </c>
    </row>
    <row r="573" spans="1:28" ht="30" customHeight="1" x14ac:dyDescent="0.55000000000000004">
      <c r="A573" s="251" t="s">
        <v>1705</v>
      </c>
      <c r="B573" s="252" t="s">
        <v>1706</v>
      </c>
      <c r="C573" s="140">
        <v>2.0389658500000001E-2</v>
      </c>
      <c r="D573" s="248">
        <f t="shared" si="16"/>
        <v>2.0389658500000001E-4</v>
      </c>
      <c r="E573" s="69">
        <f t="shared" ca="1" si="17"/>
        <v>6.0824144326985458E-3</v>
      </c>
      <c r="F573" s="249" t="s">
        <v>39</v>
      </c>
      <c r="G573" s="220"/>
      <c r="H573" s="220"/>
      <c r="I573" s="220"/>
      <c r="J573" s="250" t="str" cm="1">
        <f t="array" aca="1" ref="J573" ca="1">IFERROR(INDEX(_xlfn.ANCHORARRAY($S$12),ROW()-12+1),"")</f>
        <v>PNW</v>
      </c>
      <c r="K573" s="70">
        <f ca="1">IF(Tabla16[[#This Row],[Ticker]]="",0,SUMIF(Tablaholdings[Ticker],Tabla16[[#This Row],[Ticker]],Tablaholdings[Peso Real en Portafolio])/100)</f>
        <v>7.439604916920683E-5</v>
      </c>
      <c r="L573" s="220"/>
      <c r="M573" s="220"/>
      <c r="N573" s="220"/>
      <c r="O573" s="220"/>
      <c r="P573" s="220"/>
      <c r="Q573" s="220"/>
      <c r="S573" s="227" t="str">
        <f ca="1"/>
        <v>PNW</v>
      </c>
      <c r="AB573" s="14" t="s">
        <v>1707</v>
      </c>
    </row>
    <row r="574" spans="1:28" ht="30" customHeight="1" x14ac:dyDescent="0.55000000000000004">
      <c r="A574" s="251" t="s">
        <v>1708</v>
      </c>
      <c r="B574" s="252" t="s">
        <v>1709</v>
      </c>
      <c r="C574" s="140">
        <v>1.5850345700000001E-2</v>
      </c>
      <c r="D574" s="248">
        <f t="shared" si="16"/>
        <v>1.5850345700000001E-4</v>
      </c>
      <c r="E574" s="69">
        <f t="shared" ca="1" si="17"/>
        <v>4.7282975067454575E-3</v>
      </c>
      <c r="F574" s="249" t="s">
        <v>39</v>
      </c>
      <c r="G574" s="220"/>
      <c r="H574" s="220"/>
      <c r="I574" s="220"/>
      <c r="J574" s="250" t="str" cm="1">
        <f t="array" aca="1" ref="J574" ca="1">IFERROR(INDEX(_xlfn.ANCHORARRAY($S$12),ROW()-12+1),"")</f>
        <v>COO</v>
      </c>
      <c r="K574" s="70">
        <f ca="1">IF(Tabla16[[#This Row],[Ticker]]="",0,SUMIF(Tablaholdings[Ticker],Tabla16[[#This Row],[Ticker]],Tablaholdings[Peso Real en Portafolio])/100)</f>
        <v>7.2982576437109851E-5</v>
      </c>
      <c r="L574" s="220"/>
      <c r="M574" s="220"/>
      <c r="N574" s="220"/>
      <c r="O574" s="220"/>
      <c r="P574" s="220"/>
      <c r="Q574" s="220"/>
      <c r="S574" s="227" t="str">
        <f ca="1"/>
        <v>COO</v>
      </c>
      <c r="AB574" s="14" t="s">
        <v>1710</v>
      </c>
    </row>
    <row r="575" spans="1:28" ht="30" customHeight="1" x14ac:dyDescent="0.55000000000000004">
      <c r="A575" s="245" t="s">
        <v>1711</v>
      </c>
      <c r="B575" s="246" t="s">
        <v>1712</v>
      </c>
      <c r="C575" s="247">
        <v>6.0305999999999998E-2</v>
      </c>
      <c r="D575" s="248">
        <f t="shared" si="16"/>
        <v>6.0305999999999999E-4</v>
      </c>
      <c r="E575" s="69">
        <f t="shared" ca="1" si="17"/>
        <v>2.4216160960750188E-2</v>
      </c>
      <c r="F575" s="249" t="s">
        <v>37</v>
      </c>
      <c r="G575" s="220"/>
      <c r="H575" s="220"/>
      <c r="I575" s="220"/>
      <c r="J575" s="250" t="str" cm="1">
        <f t="array" aca="1" ref="J575" ca="1">IFERROR(INDEX(_xlfn.ANCHORARRAY($S$12),ROW()-12+1),"")</f>
        <v>APTV</v>
      </c>
      <c r="K575" s="70">
        <f ca="1">IF(Tabla16[[#This Row],[Ticker]]="",0,SUMIF(Tablaholdings[Ticker],Tabla16[[#This Row],[Ticker]],Tablaholdings[Peso Real en Portafolio])/100)</f>
        <v>7.2661332634360541E-5</v>
      </c>
      <c r="L575" s="220"/>
      <c r="M575" s="220"/>
      <c r="N575" s="220"/>
      <c r="O575" s="220"/>
      <c r="P575" s="220"/>
      <c r="Q575" s="220"/>
      <c r="S575" s="227" t="str">
        <f ca="1"/>
        <v>APTV</v>
      </c>
      <c r="AB575" s="14" t="s">
        <v>1713</v>
      </c>
    </row>
    <row r="576" spans="1:28" ht="30" customHeight="1" x14ac:dyDescent="0.55000000000000004">
      <c r="A576" s="251" t="s">
        <v>1714</v>
      </c>
      <c r="B576" s="252" t="s">
        <v>1715</v>
      </c>
      <c r="C576" s="140">
        <v>4.4745557999999998E-2</v>
      </c>
      <c r="D576" s="248">
        <f t="shared" si="16"/>
        <v>4.4745557999999999E-4</v>
      </c>
      <c r="E576" s="69">
        <f t="shared" ca="1" si="17"/>
        <v>1.3347993433943479E-2</v>
      </c>
      <c r="F576" s="249" t="s">
        <v>39</v>
      </c>
      <c r="G576" s="220"/>
      <c r="H576" s="220"/>
      <c r="I576" s="220"/>
      <c r="J576" s="250" t="str" cm="1">
        <f t="array" aca="1" ref="J576" ca="1">IFERROR(INDEX(_xlfn.ANCHORARRAY($S$12),ROW()-12+1),"")</f>
        <v>MKC</v>
      </c>
      <c r="K576" s="70">
        <f ca="1">IF(Tabla16[[#This Row],[Ticker]]="",0,SUMIF(Tablaholdings[Ticker],Tabla16[[#This Row],[Ticker]],Tablaholdings[Peso Real en Portafolio])/100)</f>
        <v>7.251677292312334E-5</v>
      </c>
      <c r="L576" s="220"/>
      <c r="M576" s="220"/>
      <c r="N576" s="220"/>
      <c r="O576" s="220"/>
      <c r="P576" s="220"/>
      <c r="Q576" s="220"/>
      <c r="S576" s="227" t="str">
        <f ca="1"/>
        <v>MKC</v>
      </c>
      <c r="AB576" s="14" t="s">
        <v>1716</v>
      </c>
    </row>
    <row r="577" spans="1:28" ht="30" customHeight="1" x14ac:dyDescent="0.55000000000000004">
      <c r="A577" s="251" t="s">
        <v>1717</v>
      </c>
      <c r="B577" s="252" t="s">
        <v>1718</v>
      </c>
      <c r="C577" s="140">
        <v>3.6243519210000001</v>
      </c>
      <c r="D577" s="248">
        <f t="shared" si="16"/>
        <v>3.6243519209999998E-2</v>
      </c>
      <c r="E577" s="69">
        <f t="shared" ca="1" si="17"/>
        <v>1.0878001292114996</v>
      </c>
      <c r="F577" s="249" t="s">
        <v>38</v>
      </c>
      <c r="G577" s="220"/>
      <c r="H577" s="220"/>
      <c r="I577" s="220"/>
      <c r="J577" s="253" t="str" cm="1">
        <f t="array" aca="1" ref="J577" ca="1">IFERROR(INDEX(_xlfn.ANCHORARRAY($S$12),ROW()-12+1),"")</f>
        <v>CNA</v>
      </c>
      <c r="K577" s="70">
        <f ca="1">IF(Tabla16[[#This Row],[Ticker]]="",0,SUMIF(Tablaholdings[Ticker],Tabla16[[#This Row],[Ticker]],Tablaholdings[Peso Real en Portafolio])/100)</f>
        <v>7.208780689971606E-5</v>
      </c>
      <c r="L577" s="220"/>
      <c r="M577" s="220"/>
      <c r="N577" s="220"/>
      <c r="O577" s="220"/>
      <c r="P577" s="220"/>
      <c r="Q577" s="220"/>
      <c r="S577" s="227" t="str">
        <f ca="1"/>
        <v>CNA</v>
      </c>
      <c r="AB577" s="14" t="s">
        <v>1719</v>
      </c>
    </row>
    <row r="578" spans="1:28" ht="30" customHeight="1" x14ac:dyDescent="0.55000000000000004">
      <c r="A578" s="245" t="s">
        <v>1717</v>
      </c>
      <c r="B578" s="246" t="s">
        <v>1718</v>
      </c>
      <c r="C578" s="247">
        <v>0.319382</v>
      </c>
      <c r="D578" s="248">
        <f t="shared" si="16"/>
        <v>3.19382E-3</v>
      </c>
      <c r="E578" s="69">
        <f t="shared" ca="1" si="17"/>
        <v>0.1282493602621019</v>
      </c>
      <c r="F578" s="249" t="s">
        <v>37</v>
      </c>
      <c r="G578" s="220"/>
      <c r="H578" s="220"/>
      <c r="I578" s="220"/>
      <c r="J578" s="250" t="str" cm="1">
        <f t="array" aca="1" ref="J578" ca="1">IFERROR(INDEX(_xlfn.ANCHORARRAY($S$12),ROW()-12+1),"")</f>
        <v>CRCL</v>
      </c>
      <c r="K578" s="70">
        <f ca="1">IF(Tabla16[[#This Row],[Ticker]]="",0,SUMIF(Tablaholdings[Ticker],Tabla16[[#This Row],[Ticker]],Tablaholdings[Peso Real en Portafolio])/100)</f>
        <v>7.2077929186917995E-5</v>
      </c>
      <c r="L578" s="220"/>
      <c r="M578" s="220"/>
      <c r="N578" s="220"/>
      <c r="O578" s="220"/>
      <c r="P578" s="220"/>
      <c r="Q578" s="220"/>
      <c r="S578" s="227" t="str">
        <f ca="1"/>
        <v>CRCL</v>
      </c>
      <c r="AB578" s="14" t="s">
        <v>1720</v>
      </c>
    </row>
    <row r="579" spans="1:28" ht="30" customHeight="1" x14ac:dyDescent="0.55000000000000004">
      <c r="A579" s="251" t="s">
        <v>1721</v>
      </c>
      <c r="B579" s="252" t="s">
        <v>1722</v>
      </c>
      <c r="C579" s="140">
        <v>2.64249095E-2</v>
      </c>
      <c r="D579" s="248">
        <f t="shared" si="16"/>
        <v>2.6424909499999998E-4</v>
      </c>
      <c r="E579" s="69">
        <f t="shared" ca="1" si="17"/>
        <v>7.9310786024804954E-3</v>
      </c>
      <c r="F579" s="249" t="s">
        <v>38</v>
      </c>
      <c r="G579" s="220"/>
      <c r="H579" s="220"/>
      <c r="I579" s="220"/>
      <c r="J579" s="253" t="str" cm="1">
        <f t="array" aca="1" ref="J579" ca="1">IFERROR(INDEX(_xlfn.ANCHORARRAY($S$12),ROW()-12+1),"")</f>
        <v>UDR</v>
      </c>
      <c r="K579" s="70">
        <f ca="1">IF(Tabla16[[#This Row],[Ticker]]="",0,SUMIF(Tablaholdings[Ticker],Tabla16[[#This Row],[Ticker]],Tablaholdings[Peso Real en Portafolio])/100)</f>
        <v>7.1549025967341046E-5</v>
      </c>
      <c r="L579" s="220"/>
      <c r="M579" s="220"/>
      <c r="N579" s="220"/>
      <c r="O579" s="220"/>
      <c r="P579" s="220"/>
      <c r="Q579" s="220"/>
      <c r="S579" s="227" t="str">
        <f ca="1"/>
        <v>UDR</v>
      </c>
      <c r="AB579" s="14" t="s">
        <v>1723</v>
      </c>
    </row>
    <row r="580" spans="1:28" ht="30" customHeight="1" x14ac:dyDescent="0.55000000000000004">
      <c r="A580" s="245" t="s">
        <v>1724</v>
      </c>
      <c r="B580" s="246" t="s">
        <v>1725</v>
      </c>
      <c r="C580" s="247">
        <v>0.231186</v>
      </c>
      <c r="D580" s="248">
        <f t="shared" si="16"/>
        <v>2.3118600000000002E-3</v>
      </c>
      <c r="E580" s="69">
        <f t="shared" ca="1" si="17"/>
        <v>9.2833837228003729E-2</v>
      </c>
      <c r="F580" s="249" t="s">
        <v>37</v>
      </c>
      <c r="G580" s="220"/>
      <c r="H580" s="220"/>
      <c r="I580" s="220"/>
      <c r="J580" s="250" t="str" cm="1">
        <f t="array" aca="1" ref="J580" ca="1">IFERROR(INDEX(_xlfn.ANCHORARRAY($S$12),ROW()-12+1),"")</f>
        <v>ALLE</v>
      </c>
      <c r="K580" s="70">
        <f ca="1">IF(Tabla16[[#This Row],[Ticker]]="",0,SUMIF(Tablaholdings[Ticker],Tabla16[[#This Row],[Ticker]],Tablaholdings[Peso Real en Portafolio])/100)</f>
        <v>7.0697729890055355E-5</v>
      </c>
      <c r="L580" s="220"/>
      <c r="M580" s="220"/>
      <c r="N580" s="220"/>
      <c r="O580" s="220"/>
      <c r="P580" s="220"/>
      <c r="Q580" s="220"/>
      <c r="S580" s="227" t="str">
        <f ca="1"/>
        <v>ALLE</v>
      </c>
      <c r="AB580" s="14" t="s">
        <v>1726</v>
      </c>
    </row>
    <row r="581" spans="1:28" ht="30" customHeight="1" x14ac:dyDescent="0.55000000000000004">
      <c r="A581" s="251" t="s">
        <v>1727</v>
      </c>
      <c r="B581" s="252" t="s">
        <v>1728</v>
      </c>
      <c r="C581" s="140">
        <v>0.51257577389999998</v>
      </c>
      <c r="D581" s="248">
        <f t="shared" si="16"/>
        <v>5.125757739E-3</v>
      </c>
      <c r="E581" s="69">
        <f t="shared" ca="1" si="17"/>
        <v>0.15384267456159767</v>
      </c>
      <c r="F581" s="249" t="s">
        <v>38</v>
      </c>
      <c r="G581" s="220"/>
      <c r="H581" s="220"/>
      <c r="I581" s="220"/>
      <c r="J581" s="253" t="str" cm="1">
        <f t="array" aca="1" ref="J581" ca="1">IFERROR(INDEX(_xlfn.ANCHORARRAY($S$12),ROW()-12+1),"")</f>
        <v>KNSL</v>
      </c>
      <c r="K581" s="70">
        <f ca="1">IF(Tabla16[[#This Row],[Ticker]]="",0,SUMIF(Tablaholdings[Ticker],Tabla16[[#This Row],[Ticker]],Tablaholdings[Peso Real en Portafolio])/100)</f>
        <v>7.0018654064202531E-5</v>
      </c>
      <c r="L581" s="220"/>
      <c r="M581" s="220"/>
      <c r="N581" s="220"/>
      <c r="O581" s="220"/>
      <c r="P581" s="220"/>
      <c r="Q581" s="220"/>
      <c r="S581" s="227" t="str">
        <f ca="1"/>
        <v>KNSL</v>
      </c>
      <c r="AB581" s="14" t="s">
        <v>1729</v>
      </c>
    </row>
    <row r="582" spans="1:28" ht="30" customHeight="1" x14ac:dyDescent="0.55000000000000004">
      <c r="A582" s="245" t="s">
        <v>1727</v>
      </c>
      <c r="B582" s="246" t="s">
        <v>1730</v>
      </c>
      <c r="C582" s="247">
        <v>3.1182000000000001E-2</v>
      </c>
      <c r="D582" s="248">
        <f t="shared" si="16"/>
        <v>3.1182000000000003E-4</v>
      </c>
      <c r="E582" s="69">
        <f t="shared" ca="1" si="17"/>
        <v>1.25212803216614E-2</v>
      </c>
      <c r="F582" s="249" t="s">
        <v>37</v>
      </c>
      <c r="G582" s="220"/>
      <c r="H582" s="220"/>
      <c r="I582" s="220"/>
      <c r="J582" s="250" t="str" cm="1">
        <f t="array" aca="1" ref="J582" ca="1">IFERROR(INDEX(_xlfn.ANCHORARRAY($S$12),ROW()-12+1),"")</f>
        <v>CLX</v>
      </c>
      <c r="K582" s="70">
        <f ca="1">IF(Tabla16[[#This Row],[Ticker]]="",0,SUMIF(Tablaholdings[Ticker],Tabla16[[#This Row],[Ticker]],Tablaholdings[Peso Real en Portafolio])/100)</f>
        <v>7.001508680921307E-5</v>
      </c>
      <c r="L582" s="220"/>
      <c r="M582" s="220"/>
      <c r="N582" s="220"/>
      <c r="O582" s="220"/>
      <c r="P582" s="220"/>
      <c r="Q582" s="220"/>
      <c r="S582" s="227" t="str">
        <f ca="1"/>
        <v>CLX</v>
      </c>
      <c r="AB582" s="14" t="s">
        <v>1731</v>
      </c>
    </row>
    <row r="583" spans="1:28" ht="30" customHeight="1" x14ac:dyDescent="0.55000000000000004">
      <c r="A583" s="251" t="s">
        <v>1732</v>
      </c>
      <c r="B583" s="252" t="s">
        <v>1733</v>
      </c>
      <c r="C583" s="140">
        <v>5.3485404799999997E-2</v>
      </c>
      <c r="D583" s="248">
        <f t="shared" si="16"/>
        <v>5.34854048E-4</v>
      </c>
      <c r="E583" s="69">
        <f t="shared" ca="1" si="17"/>
        <v>1.5955166590663792E-2</v>
      </c>
      <c r="F583" s="249" t="s">
        <v>39</v>
      </c>
      <c r="G583" s="220"/>
      <c r="H583" s="220"/>
      <c r="I583" s="220"/>
      <c r="J583" s="250" t="str" cm="1">
        <f t="array" aca="1" ref="J583" ca="1">IFERROR(INDEX(_xlfn.ANCHORARRAY($S$12),ROW()-12+1),"")</f>
        <v>CPF</v>
      </c>
      <c r="K583" s="70">
        <f ca="1">IF(Tabla16[[#This Row],[Ticker]]="",0,SUMIF(Tablaholdings[Ticker],Tabla16[[#This Row],[Ticker]],Tablaholdings[Peso Real en Portafolio])/100)</f>
        <v>6.9447981940712336E-5</v>
      </c>
      <c r="L583" s="220"/>
      <c r="M583" s="220"/>
      <c r="N583" s="220"/>
      <c r="O583" s="220"/>
      <c r="P583" s="220"/>
      <c r="Q583" s="220"/>
      <c r="S583" s="227" t="str">
        <f ca="1"/>
        <v>CPF</v>
      </c>
      <c r="AB583" s="14" t="s">
        <v>1734</v>
      </c>
    </row>
    <row r="584" spans="1:28" ht="30" customHeight="1" x14ac:dyDescent="0.55000000000000004">
      <c r="A584" s="251" t="s">
        <v>1735</v>
      </c>
      <c r="B584" s="252" t="s">
        <v>1736</v>
      </c>
      <c r="C584" s="140">
        <v>3.6025993037999999</v>
      </c>
      <c r="D584" s="248">
        <f t="shared" si="16"/>
        <v>3.6025993037999998E-2</v>
      </c>
      <c r="E584" s="69">
        <f t="shared" ca="1" si="17"/>
        <v>1.0812713758463131</v>
      </c>
      <c r="F584" s="249" t="s">
        <v>38</v>
      </c>
      <c r="G584" s="220"/>
      <c r="H584" s="220"/>
      <c r="I584" s="220"/>
      <c r="J584" s="253" t="str" cm="1">
        <f t="array" aca="1" ref="J584" ca="1">IFERROR(INDEX(_xlfn.ANCHORARRAY($S$12),ROW()-12+1),"")</f>
        <v>VRTS</v>
      </c>
      <c r="K584" s="70">
        <f ca="1">IF(Tabla16[[#This Row],[Ticker]]="",0,SUMIF(Tablaholdings[Ticker],Tabla16[[#This Row],[Ticker]],Tablaholdings[Peso Real en Portafolio])/100)</f>
        <v>6.9029311398083893E-5</v>
      </c>
      <c r="L584" s="220"/>
      <c r="M584" s="220"/>
      <c r="N584" s="220"/>
      <c r="O584" s="220"/>
      <c r="P584" s="220"/>
      <c r="Q584" s="220"/>
      <c r="S584" s="227" t="str">
        <f ca="1"/>
        <v>VRTS</v>
      </c>
      <c r="AB584" s="14" t="s">
        <v>1737</v>
      </c>
    </row>
    <row r="585" spans="1:28" ht="30" customHeight="1" x14ac:dyDescent="0.55000000000000004">
      <c r="A585" s="245" t="s">
        <v>1735</v>
      </c>
      <c r="B585" s="246" t="s">
        <v>1738</v>
      </c>
      <c r="C585" s="247">
        <v>0.51770300000000002</v>
      </c>
      <c r="D585" s="248">
        <f t="shared" si="16"/>
        <v>5.17703E-3</v>
      </c>
      <c r="E585" s="69">
        <f t="shared" ca="1" si="17"/>
        <v>0.20788610051841036</v>
      </c>
      <c r="F585" s="249" t="s">
        <v>37</v>
      </c>
      <c r="G585" s="220"/>
      <c r="H585" s="220"/>
      <c r="I585" s="220"/>
      <c r="J585" s="250" t="str" cm="1">
        <f t="array" aca="1" ref="J585" ca="1">IFERROR(INDEX(_xlfn.ANCHORARRAY($S$12),ROW()-12+1),"")</f>
        <v>SOLV</v>
      </c>
      <c r="K585" s="70">
        <f ca="1">IF(Tabla16[[#This Row],[Ticker]]="",0,SUMIF(Tablaholdings[Ticker],Tabla16[[#This Row],[Ticker]],Tablaholdings[Peso Real en Portafolio])/100)</f>
        <v>6.875822043095636E-5</v>
      </c>
      <c r="L585" s="220"/>
      <c r="M585" s="220"/>
      <c r="N585" s="220"/>
      <c r="O585" s="220"/>
      <c r="P585" s="220"/>
      <c r="Q585" s="220"/>
      <c r="S585" s="227" t="str">
        <f ca="1"/>
        <v>SOLV</v>
      </c>
      <c r="AB585" s="14" t="s">
        <v>1739</v>
      </c>
    </row>
    <row r="586" spans="1:28" ht="30" customHeight="1" x14ac:dyDescent="0.55000000000000004">
      <c r="A586" s="251" t="s">
        <v>1740</v>
      </c>
      <c r="B586" s="252" t="s">
        <v>1741</v>
      </c>
      <c r="C586" s="140">
        <v>0.40692186650000001</v>
      </c>
      <c r="D586" s="248">
        <f t="shared" si="16"/>
        <v>4.0692186649999998E-3</v>
      </c>
      <c r="E586" s="69">
        <f t="shared" ca="1" si="17"/>
        <v>0.12138837115787059</v>
      </c>
      <c r="F586" s="249" t="s">
        <v>39</v>
      </c>
      <c r="G586" s="220"/>
      <c r="H586" s="220"/>
      <c r="I586" s="220"/>
      <c r="J586" s="250" t="str" cm="1">
        <f t="array" aca="1" ref="J586" ca="1">IFERROR(INDEX(_xlfn.ANCHORARRAY($S$12),ROW()-12+1),"")</f>
        <v>ALGN</v>
      </c>
      <c r="K586" s="70">
        <f ca="1">IF(Tabla16[[#This Row],[Ticker]]="",0,SUMIF(Tablaholdings[Ticker],Tabla16[[#This Row],[Ticker]],Tablaholdings[Peso Real en Portafolio])/100)</f>
        <v>6.843697662820705E-5</v>
      </c>
      <c r="L586" s="220"/>
      <c r="M586" s="220"/>
      <c r="N586" s="220"/>
      <c r="O586" s="220"/>
      <c r="P586" s="220"/>
      <c r="Q586" s="220"/>
      <c r="S586" s="227" t="str">
        <f ca="1"/>
        <v>ALGN</v>
      </c>
      <c r="AB586" s="14" t="s">
        <v>1742</v>
      </c>
    </row>
    <row r="587" spans="1:28" ht="30" customHeight="1" x14ac:dyDescent="0.55000000000000004">
      <c r="A587" s="245" t="s">
        <v>1740</v>
      </c>
      <c r="B587" s="246" t="s">
        <v>1741</v>
      </c>
      <c r="C587" s="247">
        <v>0.179811</v>
      </c>
      <c r="D587" s="248">
        <f t="shared" si="16"/>
        <v>1.7981099999999999E-3</v>
      </c>
      <c r="E587" s="69">
        <f t="shared" ca="1" si="17"/>
        <v>7.2203961770196196E-2</v>
      </c>
      <c r="F587" s="249" t="s">
        <v>37</v>
      </c>
      <c r="G587" s="220"/>
      <c r="H587" s="220"/>
      <c r="I587" s="220"/>
      <c r="J587" s="253" t="str" cm="1">
        <f t="array" aca="1" ref="J587" ca="1">IFERROR(INDEX(_xlfn.ANCHORARRAY($S$12),ROW()-12+1),"")</f>
        <v>CPT</v>
      </c>
      <c r="K587" s="70">
        <f ca="1">IF(Tabla16[[#This Row],[Ticker]]="",0,SUMIF(Tablaholdings[Ticker],Tabla16[[#This Row],[Ticker]],Tablaholdings[Peso Real en Portafolio])/100)</f>
        <v>6.8356665677519733E-5</v>
      </c>
      <c r="L587" s="220"/>
      <c r="M587" s="220"/>
      <c r="N587" s="220"/>
      <c r="O587" s="220"/>
      <c r="P587" s="220"/>
      <c r="Q587" s="220"/>
      <c r="S587" s="227" t="str">
        <f ca="1"/>
        <v>CPT</v>
      </c>
      <c r="AB587" s="14" t="s">
        <v>1743</v>
      </c>
    </row>
    <row r="588" spans="1:28" ht="30" customHeight="1" x14ac:dyDescent="0.55000000000000004">
      <c r="A588" s="251" t="s">
        <v>1744</v>
      </c>
      <c r="B588" s="252" t="s">
        <v>1745</v>
      </c>
      <c r="C588" s="140">
        <v>0.3938111305</v>
      </c>
      <c r="D588" s="248">
        <f t="shared" ref="D588:D651" si="18">C588/100</f>
        <v>3.9381113050000003E-3</v>
      </c>
      <c r="E588" s="69">
        <f t="shared" ref="E588:E651" ca="1" si="19">C588 * VLOOKUP(F588, $A$6:$B$8, 2, FALSE)</f>
        <v>0.11747732331615707</v>
      </c>
      <c r="F588" s="249" t="s">
        <v>39</v>
      </c>
      <c r="G588" s="220"/>
      <c r="H588" s="220"/>
      <c r="I588" s="220"/>
      <c r="J588" s="253" t="str" cm="1">
        <f t="array" aca="1" ref="J588" ca="1">IFERROR(INDEX(_xlfn.ANCHORARRAY($S$12),ROW()-12+1),"")</f>
        <v>RVTY</v>
      </c>
      <c r="K588" s="70">
        <f ca="1">IF(Tabla16[[#This Row],[Ticker]]="",0,SUMIF(Tablaholdings[Ticker],Tabla16[[#This Row],[Ticker]],Tablaholdings[Peso Real en Portafolio])/100)</f>
        <v>6.7931017638876888E-5</v>
      </c>
      <c r="L588" s="220"/>
      <c r="M588" s="220"/>
      <c r="N588" s="220"/>
      <c r="O588" s="220"/>
      <c r="P588" s="220"/>
      <c r="Q588" s="220"/>
      <c r="S588" s="227" t="str">
        <f ca="1"/>
        <v>RVTY</v>
      </c>
      <c r="AB588" s="14" t="s">
        <v>1746</v>
      </c>
    </row>
    <row r="589" spans="1:28" ht="30" customHeight="1" x14ac:dyDescent="0.55000000000000004">
      <c r="A589" s="245" t="s">
        <v>1744</v>
      </c>
      <c r="B589" s="246" t="s">
        <v>1747</v>
      </c>
      <c r="C589" s="247">
        <v>0.17499400000000001</v>
      </c>
      <c r="D589" s="248">
        <f t="shared" si="18"/>
        <v>1.7499400000000002E-3</v>
      </c>
      <c r="E589" s="69">
        <f t="shared" ca="1" si="19"/>
        <v>7.0269672522891902E-2</v>
      </c>
      <c r="F589" s="249" t="s">
        <v>37</v>
      </c>
      <c r="G589" s="220"/>
      <c r="H589" s="220"/>
      <c r="I589" s="220"/>
      <c r="J589" s="250" t="str" cm="1">
        <f t="array" aca="1" ref="J589" ca="1">IFERROR(INDEX(_xlfn.ANCHORARRAY($S$12),ROW()-12+1),"")</f>
        <v>PAYC</v>
      </c>
      <c r="K589" s="70">
        <f ca="1">IF(Tabla16[[#This Row],[Ticker]]="",0,SUMIF(Tablaholdings[Ticker],Tabla16[[#This Row],[Ticker]],Tablaholdings[Peso Real en Portafolio])/100)</f>
        <v>6.7639967485327455E-5</v>
      </c>
      <c r="L589" s="220"/>
      <c r="M589" s="220"/>
      <c r="N589" s="220"/>
      <c r="O589" s="220"/>
      <c r="P589" s="220"/>
      <c r="Q589" s="220"/>
      <c r="S589" s="227" t="str">
        <f ca="1"/>
        <v>PAYC</v>
      </c>
      <c r="AB589" s="14" t="s">
        <v>1748</v>
      </c>
    </row>
    <row r="590" spans="1:28" ht="30" customHeight="1" x14ac:dyDescent="0.55000000000000004">
      <c r="A590" s="245" t="s">
        <v>1749</v>
      </c>
      <c r="B590" s="246" t="s">
        <v>1750</v>
      </c>
      <c r="C590" s="247">
        <v>3.3916000000000002E-2</v>
      </c>
      <c r="D590" s="248">
        <f t="shared" si="18"/>
        <v>3.3916000000000003E-4</v>
      </c>
      <c r="E590" s="69">
        <f t="shared" ca="1" si="19"/>
        <v>1.3619131017557183E-2</v>
      </c>
      <c r="F590" s="249" t="s">
        <v>37</v>
      </c>
      <c r="G590" s="220"/>
      <c r="H590" s="220"/>
      <c r="I590" s="220"/>
      <c r="J590" s="250" t="str" cm="1">
        <f t="array" aca="1" ref="J590" ca="1">IFERROR(INDEX(_xlfn.ANCHORARRAY($S$12),ROW()-12+1),"")</f>
        <v>SJM</v>
      </c>
      <c r="K590" s="70">
        <f ca="1">IF(Tabla16[[#This Row],[Ticker]]="",0,SUMIF(Tablaholdings[Ticker],Tabla16[[#This Row],[Ticker]],Tablaholdings[Peso Real en Portafolio])/100)</f>
        <v>6.7280498938309524E-5</v>
      </c>
      <c r="L590" s="220"/>
      <c r="M590" s="220"/>
      <c r="N590" s="220"/>
      <c r="O590" s="220"/>
      <c r="P590" s="220"/>
      <c r="Q590" s="220"/>
      <c r="S590" s="227" t="str">
        <f ca="1"/>
        <v>SJM</v>
      </c>
      <c r="AB590" s="14" t="s">
        <v>1751</v>
      </c>
    </row>
    <row r="591" spans="1:28" ht="30" customHeight="1" x14ac:dyDescent="0.55000000000000004">
      <c r="A591" s="251" t="s">
        <v>1752</v>
      </c>
      <c r="B591" s="252" t="s">
        <v>1753</v>
      </c>
      <c r="C591" s="140">
        <v>3.9377390700000001E-2</v>
      </c>
      <c r="D591" s="248">
        <f t="shared" si="18"/>
        <v>3.9377390699999999E-4</v>
      </c>
      <c r="E591" s="69">
        <f t="shared" ca="1" si="19"/>
        <v>1.1746621921877184E-2</v>
      </c>
      <c r="F591" s="249" t="s">
        <v>39</v>
      </c>
      <c r="G591" s="220"/>
      <c r="H591" s="220"/>
      <c r="I591" s="220"/>
      <c r="J591" s="253" t="str" cm="1">
        <f t="array" aca="1" ref="J591" ca="1">IFERROR(INDEX(_xlfn.ANCHORARRAY($S$12),ROW()-12+1),"")</f>
        <v>HAFC</v>
      </c>
      <c r="K591" s="70">
        <f ca="1">IF(Tabla16[[#This Row],[Ticker]]="",0,SUMIF(Tablaholdings[Ticker],Tabla16[[#This Row],[Ticker]],Tablaholdings[Peso Real en Portafolio])/100)</f>
        <v>6.6961507200212044E-5</v>
      </c>
      <c r="L591" s="220"/>
      <c r="M591" s="220"/>
      <c r="N591" s="220"/>
      <c r="O591" s="220"/>
      <c r="P591" s="220"/>
      <c r="Q591" s="220"/>
      <c r="S591" s="227" t="str">
        <f ca="1"/>
        <v>HAFC</v>
      </c>
      <c r="AB591" s="14" t="s">
        <v>1754</v>
      </c>
    </row>
    <row r="592" spans="1:28" ht="30" customHeight="1" x14ac:dyDescent="0.55000000000000004">
      <c r="A592" s="245" t="s">
        <v>1755</v>
      </c>
      <c r="B592" s="246" t="s">
        <v>1756</v>
      </c>
      <c r="C592" s="247">
        <v>3.0460999999999998E-2</v>
      </c>
      <c r="D592" s="248">
        <f t="shared" si="18"/>
        <v>3.0460999999999997E-4</v>
      </c>
      <c r="E592" s="69">
        <f t="shared" ca="1" si="19"/>
        <v>1.2231759344433579E-2</v>
      </c>
      <c r="F592" s="249" t="s">
        <v>37</v>
      </c>
      <c r="G592" s="220"/>
      <c r="H592" s="220"/>
      <c r="I592" s="220"/>
      <c r="J592" s="250" t="str" cm="1">
        <f t="array" aca="1" ref="J592" ca="1">IFERROR(INDEX(_xlfn.ANCHORARRAY($S$12),ROW()-12+1),"")</f>
        <v>AES</v>
      </c>
      <c r="K592" s="70">
        <f ca="1">IF(Tabla16[[#This Row],[Ticker]]="",0,SUMIF(Tablaholdings[Ticker],Tabla16[[#This Row],[Ticker]],Tablaholdings[Peso Real en Portafolio])/100)</f>
        <v>6.4718579611383736E-5</v>
      </c>
      <c r="L592" s="220"/>
      <c r="M592" s="220"/>
      <c r="N592" s="220"/>
      <c r="O592" s="220"/>
      <c r="P592" s="220"/>
      <c r="Q592" s="220"/>
      <c r="S592" s="227" t="str">
        <f ca="1"/>
        <v>AES</v>
      </c>
      <c r="AB592" s="14" t="s">
        <v>1757</v>
      </c>
    </row>
    <row r="593" spans="1:28" ht="30" customHeight="1" x14ac:dyDescent="0.55000000000000004">
      <c r="A593" s="245" t="s">
        <v>1758</v>
      </c>
      <c r="B593" s="246" t="s">
        <v>1759</v>
      </c>
      <c r="C593" s="247">
        <v>0.206676</v>
      </c>
      <c r="D593" s="248">
        <f t="shared" si="18"/>
        <v>2.06676E-3</v>
      </c>
      <c r="E593" s="69">
        <f t="shared" ca="1" si="19"/>
        <v>8.2991730221271612E-2</v>
      </c>
      <c r="F593" s="249" t="s">
        <v>37</v>
      </c>
      <c r="G593" s="220"/>
      <c r="H593" s="220"/>
      <c r="I593" s="220"/>
      <c r="J593" s="250" t="str" cm="1">
        <f t="array" aca="1" ref="J593" ca="1">IFERROR(INDEX(_xlfn.ANCHORARRAY($S$12),ROW()-12+1),"")</f>
        <v>JKHY</v>
      </c>
      <c r="K593" s="70">
        <f ca="1">IF(Tabla16[[#This Row],[Ticker]]="",0,SUMIF(Tablaholdings[Ticker],Tabla16[[#This Row],[Ticker]],Tablaholdings[Peso Real en Portafolio])/100)</f>
        <v>6.4188527336847369E-5</v>
      </c>
      <c r="L593" s="220"/>
      <c r="M593" s="220"/>
      <c r="N593" s="220"/>
      <c r="O593" s="220"/>
      <c r="P593" s="220"/>
      <c r="Q593" s="220"/>
      <c r="S593" s="227" t="str">
        <f ca="1"/>
        <v>JKHY</v>
      </c>
      <c r="AB593" s="14" t="s">
        <v>1760</v>
      </c>
    </row>
    <row r="594" spans="1:28" ht="30" customHeight="1" x14ac:dyDescent="0.55000000000000004">
      <c r="A594" s="251" t="s">
        <v>1761</v>
      </c>
      <c r="B594" s="252" t="s">
        <v>1762</v>
      </c>
      <c r="C594" s="140">
        <v>1.0797499443</v>
      </c>
      <c r="D594" s="248">
        <f t="shared" si="18"/>
        <v>1.0797499443E-2</v>
      </c>
      <c r="E594" s="69">
        <f t="shared" ca="1" si="19"/>
        <v>0.32209890346695952</v>
      </c>
      <c r="F594" s="249" t="s">
        <v>39</v>
      </c>
      <c r="G594" s="220"/>
      <c r="H594" s="220"/>
      <c r="I594" s="220"/>
      <c r="J594" s="250" t="str" cm="1">
        <f t="array" aca="1" ref="J594" ca="1">IFERROR(INDEX(_xlfn.ANCHORARRAY($S$12),ROW()-12+1),"")</f>
        <v>IT</v>
      </c>
      <c r="K594" s="70">
        <f ca="1">IF(Tabla16[[#This Row],[Ticker]]="",0,SUMIF(Tablaholdings[Ticker],Tabla16[[#This Row],[Ticker]],Tablaholdings[Peso Real en Portafolio])/100)</f>
        <v>6.4164434051641178E-5</v>
      </c>
      <c r="L594" s="220"/>
      <c r="M594" s="220"/>
      <c r="N594" s="220"/>
      <c r="O594" s="220"/>
      <c r="P594" s="220"/>
      <c r="Q594" s="220"/>
      <c r="S594" s="227" t="str">
        <f ca="1"/>
        <v>IT</v>
      </c>
      <c r="AB594" s="14" t="s">
        <v>1763</v>
      </c>
    </row>
    <row r="595" spans="1:28" ht="30" customHeight="1" x14ac:dyDescent="0.55000000000000004">
      <c r="A595" s="245" t="s">
        <v>1761</v>
      </c>
      <c r="B595" s="246" t="s">
        <v>1764</v>
      </c>
      <c r="C595" s="247">
        <v>0.46529799999999999</v>
      </c>
      <c r="D595" s="248">
        <f t="shared" si="18"/>
        <v>4.6529800000000001E-3</v>
      </c>
      <c r="E595" s="69">
        <f t="shared" ca="1" si="19"/>
        <v>0.18684262366456308</v>
      </c>
      <c r="F595" s="249" t="s">
        <v>37</v>
      </c>
      <c r="G595" s="220"/>
      <c r="H595" s="220"/>
      <c r="I595" s="220"/>
      <c r="J595" s="250" t="str" cm="1">
        <f t="array" aca="1" ref="J595" ca="1">IFERROR(INDEX(_xlfn.ANCHORARRAY($S$12),ROW()-12+1),"")</f>
        <v>NWSA</v>
      </c>
      <c r="K595" s="70">
        <f ca="1">IF(Tabla16[[#This Row],[Ticker]]="",0,SUMIF(Tablaholdings[Ticker],Tabla16[[#This Row],[Ticker]],Tablaholdings[Peso Real en Portafolio])/100)</f>
        <v>6.1915727432395982E-5</v>
      </c>
      <c r="L595" s="220"/>
      <c r="M595" s="220"/>
      <c r="N595" s="220"/>
      <c r="O595" s="220"/>
      <c r="P595" s="220"/>
      <c r="Q595" s="220"/>
      <c r="S595" s="227" t="str">
        <f ca="1"/>
        <v>NWSA</v>
      </c>
      <c r="AB595" s="14" t="s">
        <v>1765</v>
      </c>
    </row>
    <row r="596" spans="1:28" ht="30" customHeight="1" x14ac:dyDescent="0.55000000000000004">
      <c r="A596" s="245" t="s">
        <v>1766</v>
      </c>
      <c r="B596" s="246" t="s">
        <v>1767</v>
      </c>
      <c r="C596" s="247">
        <v>0.45816499999999999</v>
      </c>
      <c r="D596" s="248">
        <f t="shared" si="18"/>
        <v>4.5816499999999996E-3</v>
      </c>
      <c r="E596" s="69">
        <f t="shared" ca="1" si="19"/>
        <v>0.18397833360829952</v>
      </c>
      <c r="F596" s="249" t="s">
        <v>37</v>
      </c>
      <c r="G596" s="220"/>
      <c r="H596" s="220"/>
      <c r="I596" s="220"/>
      <c r="J596" s="250" t="str" cm="1">
        <f t="array" aca="1" ref="J596" ca="1">IFERROR(INDEX(_xlfn.ANCHORARRAY($S$12),ROW()-12+1),"")</f>
        <v>BEN</v>
      </c>
      <c r="K596" s="70">
        <f ca="1">IF(Tabla16[[#This Row],[Ticker]]="",0,SUMIF(Tablaholdings[Ticker],Tabla16[[#This Row],[Ticker]],Tablaholdings[Peso Real en Portafolio])/100)</f>
        <v>6.1847463124311747E-5</v>
      </c>
      <c r="L596" s="220"/>
      <c r="M596" s="220"/>
      <c r="N596" s="220"/>
      <c r="O596" s="220"/>
      <c r="P596" s="220"/>
      <c r="Q596" s="220"/>
      <c r="S596" s="227" t="str">
        <f ca="1"/>
        <v>BEN</v>
      </c>
      <c r="AB596" s="14" t="s">
        <v>1768</v>
      </c>
    </row>
    <row r="597" spans="1:28" ht="30" customHeight="1" x14ac:dyDescent="0.55000000000000004">
      <c r="A597" s="245" t="s">
        <v>1769</v>
      </c>
      <c r="B597" s="246" t="s">
        <v>1770</v>
      </c>
      <c r="C597" s="247">
        <v>0.13276199999999999</v>
      </c>
      <c r="D597" s="248">
        <f t="shared" si="18"/>
        <v>1.3276199999999998E-3</v>
      </c>
      <c r="E597" s="69">
        <f t="shared" ca="1" si="19"/>
        <v>5.3311212175755587E-2</v>
      </c>
      <c r="F597" s="249" t="s">
        <v>37</v>
      </c>
      <c r="G597" s="220"/>
      <c r="H597" s="220"/>
      <c r="I597" s="220"/>
      <c r="J597" s="253" t="str" cm="1">
        <f t="array" aca="1" ref="J597" ca="1">IFERROR(INDEX(_xlfn.ANCHORARRAY($S$12),ROW()-12+1),"")</f>
        <v>CHDN</v>
      </c>
      <c r="K597" s="70">
        <f ca="1">IF(Tabla16[[#This Row],[Ticker]]="",0,SUMIF(Tablaholdings[Ticker],Tabla16[[#This Row],[Ticker]],Tablaholdings[Peso Real en Portafolio])/100)</f>
        <v>6.0844006919710426E-5</v>
      </c>
      <c r="L597" s="220"/>
      <c r="M597" s="220"/>
      <c r="N597" s="220"/>
      <c r="O597" s="220"/>
      <c r="P597" s="220"/>
      <c r="Q597" s="220"/>
      <c r="S597" s="227" t="str">
        <f ca="1"/>
        <v>CHDN</v>
      </c>
      <c r="AB597" s="14" t="s">
        <v>1771</v>
      </c>
    </row>
    <row r="598" spans="1:28" ht="30" customHeight="1" x14ac:dyDescent="0.55000000000000004">
      <c r="A598" s="245" t="s">
        <v>1772</v>
      </c>
      <c r="B598" s="246" t="s">
        <v>1773</v>
      </c>
      <c r="C598" s="247">
        <v>1.8815999999999999E-2</v>
      </c>
      <c r="D598" s="248">
        <f t="shared" si="18"/>
        <v>1.8815999999999999E-4</v>
      </c>
      <c r="E598" s="69">
        <f t="shared" ca="1" si="19"/>
        <v>7.5556542406638736E-3</v>
      </c>
      <c r="F598" s="249" t="s">
        <v>37</v>
      </c>
      <c r="G598" s="220"/>
      <c r="H598" s="220"/>
      <c r="I598" s="220"/>
      <c r="J598" s="253" t="str" cm="1">
        <f t="array" aca="1" ref="J598" ca="1">IFERROR(INDEX(_xlfn.ANCHORARRAY($S$12),ROW()-12+1),"")</f>
        <v>PCOR</v>
      </c>
      <c r="K598" s="70">
        <f ca="1">IF(Tabla16[[#This Row],[Ticker]]="",0,SUMIF(Tablaholdings[Ticker],Tabla16[[#This Row],[Ticker]],Tablaholdings[Peso Real en Portafolio])/100)</f>
        <v>6.0824144326985461E-5</v>
      </c>
      <c r="L598" s="220"/>
      <c r="M598" s="220"/>
      <c r="N598" s="220"/>
      <c r="O598" s="220"/>
      <c r="P598" s="220"/>
      <c r="Q598" s="220"/>
      <c r="S598" s="227" t="str">
        <f ca="1"/>
        <v>PCOR</v>
      </c>
      <c r="AB598" s="14" t="s">
        <v>1774</v>
      </c>
    </row>
    <row r="599" spans="1:28" ht="30" customHeight="1" x14ac:dyDescent="0.55000000000000004">
      <c r="A599" s="245" t="s">
        <v>1775</v>
      </c>
      <c r="B599" s="246" t="s">
        <v>1776</v>
      </c>
      <c r="C599" s="247">
        <v>1.8526999999999998E-2</v>
      </c>
      <c r="D599" s="248">
        <f t="shared" si="18"/>
        <v>1.8526999999999999E-4</v>
      </c>
      <c r="E599" s="69">
        <f t="shared" ca="1" si="19"/>
        <v>7.4396049169206833E-3</v>
      </c>
      <c r="F599" s="249" t="s">
        <v>37</v>
      </c>
      <c r="G599" s="220"/>
      <c r="H599" s="220"/>
      <c r="I599" s="220"/>
      <c r="J599" s="250" t="str" cm="1">
        <f t="array" aca="1" ref="J599" ca="1">IFERROR(INDEX(_xlfn.ANCHORARRAY($S$12),ROW()-12+1),"")</f>
        <v>THFF</v>
      </c>
      <c r="K599" s="70">
        <f ca="1">IF(Tabla16[[#This Row],[Ticker]]="",0,SUMIF(Tablaholdings[Ticker],Tabla16[[#This Row],[Ticker]],Tablaholdings[Peso Real en Portafolio])/100)</f>
        <v>6.0499129371722737E-5</v>
      </c>
      <c r="L599" s="220"/>
      <c r="M599" s="220"/>
      <c r="N599" s="220"/>
      <c r="O599" s="220"/>
      <c r="P599" s="220"/>
      <c r="Q599" s="220"/>
      <c r="S599" s="227" t="str">
        <f ca="1"/>
        <v>THFF</v>
      </c>
      <c r="AB599" s="14" t="s">
        <v>1777</v>
      </c>
    </row>
    <row r="600" spans="1:28" ht="30" customHeight="1" x14ac:dyDescent="0.55000000000000004">
      <c r="A600" s="251" t="s">
        <v>1778</v>
      </c>
      <c r="B600" s="252" t="s">
        <v>1779</v>
      </c>
      <c r="C600" s="140">
        <v>3.7172337E-2</v>
      </c>
      <c r="D600" s="248">
        <f t="shared" si="18"/>
        <v>3.7172337E-4</v>
      </c>
      <c r="E600" s="69">
        <f t="shared" ca="1" si="19"/>
        <v>1.10888350124125E-2</v>
      </c>
      <c r="F600" s="249" t="s">
        <v>39</v>
      </c>
      <c r="G600" s="220"/>
      <c r="H600" s="220"/>
      <c r="I600" s="220"/>
      <c r="J600" s="253" t="str" cm="1">
        <f t="array" aca="1" ref="J600" ca="1">IFERROR(INDEX(_xlfn.ANCHORARRAY($S$12),ROW()-12+1),"")</f>
        <v>UHS</v>
      </c>
      <c r="K600" s="70">
        <f ca="1">IF(Tabla16[[#This Row],[Ticker]]="",0,SUMIF(Tablaholdings[Ticker],Tabla16[[#This Row],[Ticker]],Tablaholdings[Peso Real en Portafolio])/100)</f>
        <v>6.0084637756724881E-5</v>
      </c>
      <c r="L600" s="220"/>
      <c r="M600" s="220"/>
      <c r="N600" s="220"/>
      <c r="O600" s="220"/>
      <c r="P600" s="220"/>
      <c r="Q600" s="220"/>
      <c r="S600" s="227" t="str">
        <f ca="1"/>
        <v>UHS</v>
      </c>
      <c r="AB600" s="14" t="s">
        <v>1780</v>
      </c>
    </row>
    <row r="601" spans="1:28" ht="30" customHeight="1" x14ac:dyDescent="0.55000000000000004">
      <c r="A601" s="245" t="s">
        <v>1778</v>
      </c>
      <c r="B601" s="246" t="s">
        <v>1779</v>
      </c>
      <c r="C601" s="247">
        <v>1.6441000000000001E-2</v>
      </c>
      <c r="D601" s="248">
        <f t="shared" si="18"/>
        <v>1.6441000000000001E-4</v>
      </c>
      <c r="E601" s="69">
        <f t="shared" ca="1" si="19"/>
        <v>6.6019617012518465E-3</v>
      </c>
      <c r="F601" s="249" t="s">
        <v>37</v>
      </c>
      <c r="G601" s="220"/>
      <c r="H601" s="220"/>
      <c r="I601" s="220"/>
      <c r="J601" s="253" t="str" cm="1">
        <f t="array" aca="1" ref="J601" ca="1">IFERROR(INDEX(_xlfn.ANCHORARRAY($S$12),ROW()-12+1),"")</f>
        <v>CHE</v>
      </c>
      <c r="K601" s="70">
        <f ca="1">IF(Tabla16[[#This Row],[Ticker]]="",0,SUMIF(Tablaholdings[Ticker],Tabla16[[#This Row],[Ticker]],Tablaholdings[Peso Real en Portafolio])/100)</f>
        <v>5.9280599765777036E-5</v>
      </c>
      <c r="L601" s="220"/>
      <c r="M601" s="220"/>
      <c r="N601" s="220"/>
      <c r="O601" s="220"/>
      <c r="P601" s="220"/>
      <c r="Q601" s="220"/>
      <c r="S601" s="227" t="str">
        <f ca="1"/>
        <v>CHE</v>
      </c>
      <c r="AB601" s="14" t="s">
        <v>1781</v>
      </c>
    </row>
    <row r="602" spans="1:28" ht="30" customHeight="1" x14ac:dyDescent="0.55000000000000004">
      <c r="A602" s="251" t="s">
        <v>1782</v>
      </c>
      <c r="B602" s="252" t="s">
        <v>1783</v>
      </c>
      <c r="C602" s="140">
        <v>2.0564497399999999E-2</v>
      </c>
      <c r="D602" s="248">
        <f t="shared" si="18"/>
        <v>2.0564497399999998E-4</v>
      </c>
      <c r="E602" s="69">
        <f t="shared" ca="1" si="19"/>
        <v>6.1345704140631733E-3</v>
      </c>
      <c r="F602" s="249" t="s">
        <v>39</v>
      </c>
      <c r="G602" s="220"/>
      <c r="H602" s="220"/>
      <c r="I602" s="220"/>
      <c r="J602" s="253" t="str" cm="1">
        <f t="array" aca="1" ref="J602" ca="1">IFERROR(INDEX(_xlfn.ANCHORARRAY($S$12),ROW()-12+1),"")</f>
        <v>RGEN</v>
      </c>
      <c r="K602" s="70">
        <f ca="1">IF(Tabla16[[#This Row],[Ticker]]="",0,SUMIF(Tablaholdings[Ticker],Tabla16[[#This Row],[Ticker]],Tablaholdings[Peso Real en Portafolio])/100)</f>
        <v>5.8466225409715686E-5</v>
      </c>
      <c r="L602" s="220"/>
      <c r="M602" s="220"/>
      <c r="N602" s="220"/>
      <c r="O602" s="220"/>
      <c r="P602" s="220"/>
      <c r="Q602" s="220"/>
      <c r="S602" s="227" t="str">
        <f ca="1"/>
        <v>RGEN</v>
      </c>
      <c r="AB602" s="14" t="s">
        <v>1784</v>
      </c>
    </row>
    <row r="603" spans="1:28" ht="30" customHeight="1" x14ac:dyDescent="0.55000000000000004">
      <c r="A603" s="245" t="s">
        <v>1782</v>
      </c>
      <c r="B603" s="246" t="s">
        <v>1783</v>
      </c>
      <c r="C603" s="247">
        <v>8.8330000000000006E-3</v>
      </c>
      <c r="D603" s="248">
        <f t="shared" si="18"/>
        <v>8.8330000000000003E-5</v>
      </c>
      <c r="E603" s="69">
        <f t="shared" ca="1" si="19"/>
        <v>3.5469331371058674E-3</v>
      </c>
      <c r="F603" s="249" t="s">
        <v>37</v>
      </c>
      <c r="G603" s="220"/>
      <c r="H603" s="220"/>
      <c r="I603" s="220"/>
      <c r="J603" s="250" t="str" cm="1">
        <f t="array" aca="1" ref="J603" ca="1">IFERROR(INDEX(_xlfn.ANCHORARRAY($S$12),ROW()-12+1),"")</f>
        <v>BAX</v>
      </c>
      <c r="K603" s="70">
        <f ca="1">IF(Tabla16[[#This Row],[Ticker]]="",0,SUMIF(Tablaholdings[Ticker],Tabla16[[#This Row],[Ticker]],Tablaholdings[Peso Real en Portafolio])/100)</f>
        <v>5.6020903651946053E-5</v>
      </c>
      <c r="L603" s="220"/>
      <c r="M603" s="220"/>
      <c r="N603" s="220"/>
      <c r="O603" s="220"/>
      <c r="P603" s="220"/>
      <c r="Q603" s="220"/>
      <c r="S603" s="227" t="str">
        <f ca="1"/>
        <v>BAX</v>
      </c>
      <c r="AB603" s="14" t="s">
        <v>1785</v>
      </c>
    </row>
    <row r="604" spans="1:28" ht="30" customHeight="1" x14ac:dyDescent="0.55000000000000004">
      <c r="A604" s="245" t="s">
        <v>1786</v>
      </c>
      <c r="B604" s="246" t="s">
        <v>1787</v>
      </c>
      <c r="C604" s="247">
        <v>3.6947000000000001E-2</v>
      </c>
      <c r="D604" s="248">
        <f t="shared" si="18"/>
        <v>3.6947E-4</v>
      </c>
      <c r="E604" s="69">
        <f t="shared" ca="1" si="19"/>
        <v>1.4836243475223646E-2</v>
      </c>
      <c r="F604" s="249" t="s">
        <v>37</v>
      </c>
      <c r="G604" s="220"/>
      <c r="H604" s="220"/>
      <c r="I604" s="220"/>
      <c r="J604" s="250" t="str" cm="1">
        <f t="array" aca="1" ref="J604" ca="1">IFERROR(INDEX(_xlfn.ANCHORARRAY($S$12),ROW()-12+1),"")</f>
        <v>FRT</v>
      </c>
      <c r="K604" s="70">
        <f ca="1">IF(Tabla16[[#This Row],[Ticker]]="",0,SUMIF(Tablaholdings[Ticker],Tabla16[[#This Row],[Ticker]],Tablaholdings[Peso Real en Portafolio])/100)</f>
        <v>5.5920514963586889E-5</v>
      </c>
      <c r="L604" s="220"/>
      <c r="M604" s="220"/>
      <c r="N604" s="220"/>
      <c r="O604" s="220"/>
      <c r="P604" s="220"/>
      <c r="Q604" s="220"/>
      <c r="S604" s="227" t="str">
        <f ca="1"/>
        <v>FRT</v>
      </c>
      <c r="AB604" s="14" t="s">
        <v>1788</v>
      </c>
    </row>
    <row r="605" spans="1:28" ht="30" customHeight="1" x14ac:dyDescent="0.55000000000000004">
      <c r="A605" s="245" t="s">
        <v>1789</v>
      </c>
      <c r="B605" s="246" t="s">
        <v>1790</v>
      </c>
      <c r="C605" s="247">
        <v>4.1397999999999997E-2</v>
      </c>
      <c r="D605" s="248">
        <f t="shared" si="18"/>
        <v>4.1397999999999999E-4</v>
      </c>
      <c r="E605" s="69">
        <f t="shared" ca="1" si="19"/>
        <v>1.6623563682770143E-2</v>
      </c>
      <c r="F605" s="249" t="s">
        <v>37</v>
      </c>
      <c r="G605" s="220"/>
      <c r="H605" s="220"/>
      <c r="I605" s="220"/>
      <c r="J605" s="250" t="str" cm="1">
        <f t="array" aca="1" ref="J605" ca="1">IFERROR(INDEX(_xlfn.ANCHORARRAY($S$12),ROW()-12+1),"")</f>
        <v>BXP</v>
      </c>
      <c r="K605" s="70">
        <f ca="1">IF(Tabla16[[#This Row],[Ticker]]="",0,SUMIF(Tablaholdings[Ticker],Tabla16[[#This Row],[Ticker]],Tablaholdings[Peso Real en Portafolio])/100)</f>
        <v>5.3896679006266219E-5</v>
      </c>
      <c r="L605" s="220"/>
      <c r="M605" s="220"/>
      <c r="N605" s="220"/>
      <c r="O605" s="220"/>
      <c r="P605" s="220"/>
      <c r="Q605" s="220"/>
      <c r="S605" s="227" t="str">
        <f ca="1"/>
        <v>BXP</v>
      </c>
      <c r="AB605" s="14" t="s">
        <v>1791</v>
      </c>
    </row>
    <row r="606" spans="1:28" ht="30" customHeight="1" x14ac:dyDescent="0.55000000000000004">
      <c r="A606" s="245" t="s">
        <v>1792</v>
      </c>
      <c r="B606" s="246" t="s">
        <v>1793</v>
      </c>
      <c r="C606" s="247">
        <v>5.5774999999999998E-2</v>
      </c>
      <c r="D606" s="248">
        <f t="shared" si="18"/>
        <v>5.5774999999999998E-4</v>
      </c>
      <c r="E606" s="69">
        <f t="shared" ca="1" si="19"/>
        <v>2.2396716372928758E-2</v>
      </c>
      <c r="F606" s="249" t="s">
        <v>37</v>
      </c>
      <c r="G606" s="220"/>
      <c r="H606" s="220"/>
      <c r="I606" s="220"/>
      <c r="J606" s="253" t="str" cm="1">
        <f t="array" aca="1" ref="J606" ca="1">IFERROR(INDEX(_xlfn.ANCHORARRAY($S$12),ROW()-12+1),"")</f>
        <v>ORRF</v>
      </c>
      <c r="K606" s="70">
        <f ca="1">IF(Tabla16[[#This Row],[Ticker]]="",0,SUMIF(Tablaholdings[Ticker],Tabla16[[#This Row],[Ticker]],Tablaholdings[Peso Real en Portafolio])/100)</f>
        <v>5.3872213738452476E-5</v>
      </c>
      <c r="L606" s="220"/>
      <c r="M606" s="220"/>
      <c r="N606" s="220"/>
      <c r="O606" s="220"/>
      <c r="P606" s="220"/>
      <c r="Q606" s="220"/>
      <c r="S606" s="227" t="str">
        <f ca="1"/>
        <v>ORRF</v>
      </c>
      <c r="AB606" s="14" t="s">
        <v>1794</v>
      </c>
    </row>
    <row r="607" spans="1:28" ht="30" customHeight="1" x14ac:dyDescent="0.55000000000000004">
      <c r="A607" s="245" t="s">
        <v>1795</v>
      </c>
      <c r="B607" s="246" t="s">
        <v>1796</v>
      </c>
      <c r="C607" s="247">
        <v>7.5171000000000002E-2</v>
      </c>
      <c r="D607" s="248">
        <f t="shared" si="18"/>
        <v>7.5171000000000005E-4</v>
      </c>
      <c r="E607" s="69">
        <f t="shared" ca="1" si="19"/>
        <v>3.0185272370585887E-2</v>
      </c>
      <c r="F607" s="249" t="s">
        <v>37</v>
      </c>
      <c r="G607" s="220"/>
      <c r="H607" s="220"/>
      <c r="I607" s="220"/>
      <c r="J607" s="250" t="str" cm="1">
        <f t="array" aca="1" ref="J607" ca="1">IFERROR(INDEX(_xlfn.ANCHORARRAY($S$12),ROW()-12+1),"")</f>
        <v>FOX</v>
      </c>
      <c r="K607" s="70">
        <f ca="1">IF(Tabla16[[#This Row],[Ticker]]="",0,SUMIF(Tablaholdings[Ticker],Tabla16[[#This Row],[Ticker]],Tablaholdings[Peso Real en Portafolio])/100)</f>
        <v>5.3049398476514893E-5</v>
      </c>
      <c r="L607" s="220"/>
      <c r="M607" s="220"/>
      <c r="N607" s="220"/>
      <c r="O607" s="220"/>
      <c r="P607" s="220"/>
      <c r="Q607" s="220"/>
      <c r="S607" s="227" t="str">
        <f ca="1"/>
        <v>FOX</v>
      </c>
      <c r="AB607" s="14" t="s">
        <v>1797</v>
      </c>
    </row>
    <row r="608" spans="1:28" ht="30" customHeight="1" x14ac:dyDescent="0.55000000000000004">
      <c r="A608" s="245" t="s">
        <v>1798</v>
      </c>
      <c r="B608" s="246" t="s">
        <v>1799</v>
      </c>
      <c r="C608" s="247">
        <v>5.0670000000000003E-3</v>
      </c>
      <c r="D608" s="248">
        <f t="shared" si="18"/>
        <v>5.0670000000000001E-5</v>
      </c>
      <c r="E608" s="69">
        <f t="shared" ca="1" si="19"/>
        <v>2.0346779356634698E-3</v>
      </c>
      <c r="F608" s="249" t="s">
        <v>37</v>
      </c>
      <c r="G608" s="220"/>
      <c r="H608" s="220"/>
      <c r="I608" s="220"/>
      <c r="J608" s="253" t="str" cm="1">
        <f t="array" aca="1" ref="J608" ca="1">IFERROR(INDEX(_xlfn.ANCHORARRAY($S$12),ROW()-12+1),"")</f>
        <v>IBCP</v>
      </c>
      <c r="K608" s="70">
        <f ca="1">IF(Tabla16[[#This Row],[Ticker]]="",0,SUMIF(Tablaholdings[Ticker],Tabla16[[#This Row],[Ticker]],Tablaholdings[Peso Real en Portafolio])/100)</f>
        <v>5.2439763895433255E-5</v>
      </c>
      <c r="L608" s="220"/>
      <c r="M608" s="220"/>
      <c r="N608" s="220"/>
      <c r="O608" s="220"/>
      <c r="P608" s="220"/>
      <c r="Q608" s="220"/>
      <c r="S608" s="227" t="str">
        <f ca="1"/>
        <v>IBCP</v>
      </c>
      <c r="AB608" s="14" t="s">
        <v>1800</v>
      </c>
    </row>
    <row r="609" spans="1:28" ht="30" customHeight="1" x14ac:dyDescent="0.55000000000000004">
      <c r="A609" s="251" t="s">
        <v>1801</v>
      </c>
      <c r="B609" s="252" t="s">
        <v>1802</v>
      </c>
      <c r="C609" s="140">
        <v>0.2445544462</v>
      </c>
      <c r="D609" s="248">
        <f t="shared" si="18"/>
        <v>2.4455444619999999E-3</v>
      </c>
      <c r="E609" s="69">
        <f t="shared" ca="1" si="19"/>
        <v>7.2952741859187098E-2</v>
      </c>
      <c r="F609" s="249" t="s">
        <v>39</v>
      </c>
      <c r="G609" s="220"/>
      <c r="H609" s="220"/>
      <c r="I609" s="220"/>
      <c r="J609" s="250" t="str" cm="1">
        <f t="array" aca="1" ref="J609" ca="1">IFERROR(INDEX(_xlfn.ANCHORARRAY($S$12),ROW()-12+1),"")</f>
        <v>WYNN</v>
      </c>
      <c r="K609" s="70">
        <f ca="1">IF(Tabla16[[#This Row],[Ticker]]="",0,SUMIF(Tablaholdings[Ticker],Tabla16[[#This Row],[Ticker]],Tablaholdings[Peso Real en Portafolio])/100)</f>
        <v>5.1507428223318188E-5</v>
      </c>
      <c r="L609" s="220"/>
      <c r="M609" s="220"/>
      <c r="N609" s="220"/>
      <c r="O609" s="220"/>
      <c r="P609" s="220"/>
      <c r="Q609" s="220"/>
      <c r="S609" s="227" t="str">
        <f ca="1"/>
        <v>WYNN</v>
      </c>
      <c r="AB609" s="14" t="s">
        <v>1803</v>
      </c>
    </row>
    <row r="610" spans="1:28" ht="30" customHeight="1" x14ac:dyDescent="0.55000000000000004">
      <c r="A610" s="245" t="s">
        <v>1801</v>
      </c>
      <c r="B610" s="246" t="s">
        <v>1804</v>
      </c>
      <c r="C610" s="247">
        <v>0.10846</v>
      </c>
      <c r="D610" s="248">
        <f t="shared" si="18"/>
        <v>1.0846E-3</v>
      </c>
      <c r="E610" s="69">
        <f t="shared" ca="1" si="19"/>
        <v>4.3552628557738296E-2</v>
      </c>
      <c r="F610" s="249" t="s">
        <v>37</v>
      </c>
      <c r="G610" s="220"/>
      <c r="H610" s="220"/>
      <c r="I610" s="220"/>
      <c r="J610" s="250" t="str" cm="1">
        <f t="array" aca="1" ref="J610" ca="1">IFERROR(INDEX(_xlfn.ANCHORARRAY($S$12),ROW()-12+1),"")</f>
        <v>CRL</v>
      </c>
      <c r="K610" s="70">
        <f ca="1">IF(Tabla16[[#This Row],[Ticker]]="",0,SUMIF(Tablaholdings[Ticker],Tabla16[[#This Row],[Ticker]],Tablaholdings[Peso Real en Portafolio])/100)</f>
        <v>5.0563774552742077E-5</v>
      </c>
      <c r="L610" s="220"/>
      <c r="M610" s="220"/>
      <c r="N610" s="220"/>
      <c r="O610" s="220"/>
      <c r="P610" s="220"/>
      <c r="Q610" s="220"/>
      <c r="S610" s="227" t="str">
        <f ca="1"/>
        <v>CRL</v>
      </c>
      <c r="AB610" s="14" t="s">
        <v>1805</v>
      </c>
    </row>
    <row r="611" spans="1:28" ht="30" customHeight="1" x14ac:dyDescent="0.55000000000000004">
      <c r="A611" s="251" t="s">
        <v>1806</v>
      </c>
      <c r="B611" s="252" t="s">
        <v>1807</v>
      </c>
      <c r="C611" s="140">
        <v>5.8656223899999999E-2</v>
      </c>
      <c r="D611" s="248">
        <f t="shared" si="18"/>
        <v>5.8656223900000002E-4</v>
      </c>
      <c r="E611" s="69">
        <f t="shared" ca="1" si="19"/>
        <v>1.7497667399233655E-2</v>
      </c>
      <c r="F611" s="249" t="s">
        <v>39</v>
      </c>
      <c r="G611" s="220"/>
      <c r="H611" s="220"/>
      <c r="I611" s="220"/>
      <c r="J611" s="253" t="str" cm="1">
        <f t="array" aca="1" ref="J611" ca="1">IFERROR(INDEX(_xlfn.ANCHORARRAY($S$12),ROW()-12+1),"")</f>
        <v>USD</v>
      </c>
      <c r="K611" s="70">
        <f ca="1">IF(Tabla16[[#This Row],[Ticker]]="",0,SUMIF(Tablaholdings[Ticker],Tabla16[[#This Row],[Ticker]],Tablaholdings[Peso Real en Portafolio])/100)</f>
        <v>5.0296219363291896E-5</v>
      </c>
      <c r="L611" s="220"/>
      <c r="M611" s="220"/>
      <c r="N611" s="220"/>
      <c r="O611" s="220"/>
      <c r="P611" s="220"/>
      <c r="Q611" s="220"/>
      <c r="S611" s="227" t="str">
        <f ca="1"/>
        <v>USD</v>
      </c>
      <c r="AB611" s="14" t="s">
        <v>1808</v>
      </c>
    </row>
    <row r="612" spans="1:28" ht="30" customHeight="1" x14ac:dyDescent="0.55000000000000004">
      <c r="A612" s="245" t="s">
        <v>1806</v>
      </c>
      <c r="B612" s="246" t="s">
        <v>1807</v>
      </c>
      <c r="C612" s="247">
        <v>2.6254E-2</v>
      </c>
      <c r="D612" s="248">
        <f t="shared" si="18"/>
        <v>2.6254000000000002E-4</v>
      </c>
      <c r="E612" s="69">
        <f t="shared" ca="1" si="19"/>
        <v>1.0542418496725624E-2</v>
      </c>
      <c r="F612" s="249" t="s">
        <v>37</v>
      </c>
      <c r="G612" s="220"/>
      <c r="H612" s="220"/>
      <c r="I612" s="220"/>
      <c r="J612" s="253" t="str" cm="1">
        <f t="array" aca="1" ref="J612" ca="1">IFERROR(INDEX(_xlfn.ANCHORARRAY($S$12),ROW()-12+1),"")</f>
        <v>ESTC</v>
      </c>
      <c r="K612" s="70">
        <f ca="1">IF(Tabla16[[#This Row],[Ticker]]="",0,SUMIF(Tablaholdings[Ticker],Tabla16[[#This Row],[Ticker]],Tablaholdings[Peso Real en Portafolio])/100)</f>
        <v>5.001910419229933E-5</v>
      </c>
      <c r="L612" s="220"/>
      <c r="M612" s="220"/>
      <c r="N612" s="220"/>
      <c r="O612" s="220"/>
      <c r="P612" s="220"/>
      <c r="Q612" s="220"/>
      <c r="S612" s="227" t="str">
        <f ca="1"/>
        <v>ESTC</v>
      </c>
      <c r="AB612" s="14" t="s">
        <v>1809</v>
      </c>
    </row>
    <row r="613" spans="1:28" ht="30" customHeight="1" x14ac:dyDescent="0.55000000000000004">
      <c r="A613" s="251" t="s">
        <v>1810</v>
      </c>
      <c r="B613" s="252" t="s">
        <v>1811</v>
      </c>
      <c r="C613" s="140">
        <v>0.41170013090000002</v>
      </c>
      <c r="D613" s="248">
        <f t="shared" si="18"/>
        <v>4.1170013090000004E-3</v>
      </c>
      <c r="E613" s="69">
        <f t="shared" ca="1" si="19"/>
        <v>0.12281376944739121</v>
      </c>
      <c r="F613" s="249" t="s">
        <v>39</v>
      </c>
      <c r="G613" s="220"/>
      <c r="H613" s="220"/>
      <c r="I613" s="220"/>
      <c r="J613" s="253" t="str" cm="1">
        <f t="array" aca="1" ref="J613" ca="1">IFERROR(INDEX(_xlfn.ANCHORARRAY($S$12),ROW()-12+1),"")</f>
        <v>TEM</v>
      </c>
      <c r="K613" s="70">
        <f ca="1">IF(Tabla16[[#This Row],[Ticker]]="",0,SUMIF(Tablaholdings[Ticker],Tabla16[[#This Row],[Ticker]],Tablaholdings[Peso Real en Portafolio])/100)</f>
        <v>4.9994520862912794E-5</v>
      </c>
      <c r="L613" s="220"/>
      <c r="M613" s="220"/>
      <c r="N613" s="220"/>
      <c r="O613" s="220"/>
      <c r="P613" s="220"/>
      <c r="Q613" s="220"/>
      <c r="S613" s="227" t="str">
        <f ca="1"/>
        <v>TEM</v>
      </c>
      <c r="AB613" s="14" t="s">
        <v>1812</v>
      </c>
    </row>
    <row r="614" spans="1:28" ht="30" customHeight="1" x14ac:dyDescent="0.55000000000000004">
      <c r="A614" s="245" t="s">
        <v>1810</v>
      </c>
      <c r="B614" s="246" t="s">
        <v>1811</v>
      </c>
      <c r="C614" s="247">
        <v>0.180673</v>
      </c>
      <c r="D614" s="248">
        <f t="shared" si="18"/>
        <v>1.8067300000000001E-3</v>
      </c>
      <c r="E614" s="69">
        <f t="shared" ca="1" si="19"/>
        <v>7.2550101967658584E-2</v>
      </c>
      <c r="F614" s="249" t="s">
        <v>37</v>
      </c>
      <c r="G614" s="220"/>
      <c r="H614" s="220"/>
      <c r="I614" s="220"/>
      <c r="J614" s="253" t="str" cm="1">
        <f t="array" aca="1" ref="J614" ca="1">IFERROR(INDEX(_xlfn.ANCHORARRAY($S$12),ROW()-12+1),"")</f>
        <v>CELH</v>
      </c>
      <c r="K614" s="70">
        <f ca="1">IF(Tabla16[[#This Row],[Ticker]]="",0,SUMIF(Tablaholdings[Ticker],Tabla16[[#This Row],[Ticker]],Tablaholdings[Peso Real en Portafolio])/100)</f>
        <v>4.9285686666546445E-5</v>
      </c>
      <c r="L614" s="220"/>
      <c r="M614" s="220"/>
      <c r="N614" s="220"/>
      <c r="O614" s="220"/>
      <c r="P614" s="220"/>
      <c r="Q614" s="220"/>
      <c r="S614" s="227" t="str">
        <f ca="1"/>
        <v>CELH</v>
      </c>
      <c r="AB614" s="14" t="s">
        <v>1813</v>
      </c>
    </row>
    <row r="615" spans="1:28" ht="30" customHeight="1" x14ac:dyDescent="0.55000000000000004">
      <c r="A615" s="245" t="s">
        <v>1814</v>
      </c>
      <c r="B615" s="246" t="s">
        <v>1815</v>
      </c>
      <c r="C615" s="247">
        <v>6.5138000000000001E-2</v>
      </c>
      <c r="D615" s="248">
        <f t="shared" si="18"/>
        <v>6.5138000000000001E-4</v>
      </c>
      <c r="E615" s="69">
        <f t="shared" ca="1" si="19"/>
        <v>2.6156473529356048E-2</v>
      </c>
      <c r="F615" s="249" t="s">
        <v>37</v>
      </c>
      <c r="G615" s="220"/>
      <c r="H615" s="220"/>
      <c r="I615" s="220"/>
      <c r="J615" s="253" t="str" cm="1">
        <f t="array" aca="1" ref="J615" ca="1">IFERROR(INDEX(_xlfn.ANCHORARRAY($S$12),ROW()-12+1),"")</f>
        <v>LBRDK</v>
      </c>
      <c r="K615" s="70">
        <f ca="1">IF(Tabla16[[#This Row],[Ticker]]="",0,SUMIF(Tablaholdings[Ticker],Tabla16[[#This Row],[Ticker]],Tablaholdings[Peso Real en Portafolio])/100)</f>
        <v>4.9119182331902027E-5</v>
      </c>
      <c r="L615" s="220"/>
      <c r="M615" s="220"/>
      <c r="N615" s="220"/>
      <c r="O615" s="220"/>
      <c r="P615" s="220"/>
      <c r="Q615" s="220"/>
      <c r="S615" s="227" t="str">
        <f ca="1"/>
        <v>LBRDK</v>
      </c>
      <c r="AB615" s="14" t="s">
        <v>1816</v>
      </c>
    </row>
    <row r="616" spans="1:28" ht="30" customHeight="1" x14ac:dyDescent="0.55000000000000004">
      <c r="A616" s="245" t="s">
        <v>1817</v>
      </c>
      <c r="B616" s="246" t="s">
        <v>1818</v>
      </c>
      <c r="C616" s="247">
        <v>5.3179999999999998E-2</v>
      </c>
      <c r="D616" s="248">
        <f t="shared" si="18"/>
        <v>5.3180000000000002E-4</v>
      </c>
      <c r="E616" s="69">
        <f t="shared" ca="1" si="19"/>
        <v>2.135468178776067E-2</v>
      </c>
      <c r="F616" s="249" t="s">
        <v>37</v>
      </c>
      <c r="G616" s="220"/>
      <c r="H616" s="220"/>
      <c r="I616" s="220"/>
      <c r="J616" s="253" t="str" cm="1">
        <f t="array" aca="1" ref="J616" ca="1">IFERROR(INDEX(_xlfn.ANCHORARRAY($S$12),ROW()-12+1),"")</f>
        <v>CCBG</v>
      </c>
      <c r="K616" s="70">
        <f ca="1">IF(Tabla16[[#This Row],[Ticker]]="",0,SUMIF(Tablaholdings[Ticker],Tabla16[[#This Row],[Ticker]],Tablaholdings[Peso Real en Portafolio])/100)</f>
        <v>4.7732649172437766E-5</v>
      </c>
      <c r="L616" s="220"/>
      <c r="M616" s="220"/>
      <c r="N616" s="220"/>
      <c r="O616" s="220"/>
      <c r="P616" s="220"/>
      <c r="Q616" s="220"/>
      <c r="S616" s="227" t="str">
        <f ca="1"/>
        <v>CCBG</v>
      </c>
      <c r="AB616" s="14" t="s">
        <v>1819</v>
      </c>
    </row>
    <row r="617" spans="1:28" ht="30" customHeight="1" x14ac:dyDescent="0.55000000000000004">
      <c r="A617" s="251" t="s">
        <v>1820</v>
      </c>
      <c r="B617" s="252" t="s">
        <v>1821</v>
      </c>
      <c r="C617" s="140">
        <v>5.4894734914000001</v>
      </c>
      <c r="D617" s="248">
        <f t="shared" si="18"/>
        <v>5.4894734914000001E-2</v>
      </c>
      <c r="E617" s="69">
        <f t="shared" ca="1" si="19"/>
        <v>1.6475911013631452</v>
      </c>
      <c r="F617" s="249" t="s">
        <v>38</v>
      </c>
      <c r="G617" s="220"/>
      <c r="H617" s="220"/>
      <c r="I617" s="220"/>
      <c r="J617" s="253" t="str" cm="1">
        <f t="array" aca="1" ref="J617" ca="1">IFERROR(INDEX(_xlfn.ANCHORARRAY($S$12),ROW()-12+1),"")</f>
        <v>PCTY</v>
      </c>
      <c r="K617" s="70">
        <f ca="1">IF(Tabla16[[#This Row],[Ticker]]="",0,SUMIF(Tablaholdings[Ticker],Tabla16[[#This Row],[Ticker]],Tablaholdings[Peso Real en Portafolio])/100)</f>
        <v>4.7282975067454573E-5</v>
      </c>
      <c r="L617" s="220"/>
      <c r="M617" s="220"/>
      <c r="N617" s="220"/>
      <c r="O617" s="220"/>
      <c r="P617" s="220"/>
      <c r="Q617" s="220"/>
      <c r="S617" s="227" t="str">
        <f ca="1"/>
        <v>PCTY</v>
      </c>
      <c r="AB617" s="14" t="s">
        <v>1822</v>
      </c>
    </row>
    <row r="618" spans="1:28" ht="30" customHeight="1" x14ac:dyDescent="0.55000000000000004">
      <c r="A618" s="245" t="s">
        <v>1820</v>
      </c>
      <c r="B618" s="246" t="s">
        <v>1821</v>
      </c>
      <c r="C618" s="247">
        <v>0.35618300000000003</v>
      </c>
      <c r="D618" s="248">
        <f t="shared" si="18"/>
        <v>3.5618300000000002E-3</v>
      </c>
      <c r="E618" s="69">
        <f t="shared" ca="1" si="19"/>
        <v>0.14302697674332379</v>
      </c>
      <c r="F618" s="249" t="s">
        <v>37</v>
      </c>
      <c r="G618" s="220"/>
      <c r="H618" s="220"/>
      <c r="I618" s="220"/>
      <c r="J618" s="250" t="str" cm="1">
        <f t="array" aca="1" ref="J618" ca="1">IFERROR(INDEX(_xlfn.ANCHORARRAY($S$12),ROW()-12+1),"")</f>
        <v>ARE</v>
      </c>
      <c r="K618" s="70">
        <f ca="1">IF(Tabla16[[#This Row],[Ticker]]="",0,SUMIF(Tablaholdings[Ticker],Tabla16[[#This Row],[Ticker]],Tablaholdings[Peso Real en Portafolio])/100)</f>
        <v>4.6536180375772549E-5</v>
      </c>
      <c r="L618" s="220"/>
      <c r="M618" s="220"/>
      <c r="N618" s="220"/>
      <c r="O618" s="220"/>
      <c r="P618" s="220"/>
      <c r="Q618" s="220"/>
      <c r="S618" s="227" t="str">
        <f ca="1"/>
        <v>ARE</v>
      </c>
      <c r="AB618" s="14" t="s">
        <v>1823</v>
      </c>
    </row>
    <row r="619" spans="1:28" ht="30" customHeight="1" x14ac:dyDescent="0.55000000000000004">
      <c r="A619" s="251" t="s">
        <v>1824</v>
      </c>
      <c r="B619" s="252" t="s">
        <v>1825</v>
      </c>
      <c r="C619" s="140">
        <v>6.6995069899999996E-2</v>
      </c>
      <c r="D619" s="248">
        <f t="shared" si="18"/>
        <v>6.6995069899999991E-4</v>
      </c>
      <c r="E619" s="69">
        <f t="shared" ca="1" si="19"/>
        <v>1.9985218491001596E-2</v>
      </c>
      <c r="F619" s="249" t="s">
        <v>39</v>
      </c>
      <c r="G619" s="220"/>
      <c r="H619" s="220"/>
      <c r="I619" s="220"/>
      <c r="J619" s="253" t="str" cm="1">
        <f t="array" aca="1" ref="J619" ca="1">IFERROR(INDEX(_xlfn.ANCHORARRAY($S$12),ROW()-12+1),"")</f>
        <v>NCLH</v>
      </c>
      <c r="K619" s="70">
        <f ca="1">IF(Tabla16[[#This Row],[Ticker]]="",0,SUMIF(Tablaholdings[Ticker],Tabla16[[#This Row],[Ticker]],Tablaholdings[Peso Real en Portafolio])/100)</f>
        <v>4.5825428462189694E-5</v>
      </c>
      <c r="L619" s="220"/>
      <c r="M619" s="220"/>
      <c r="N619" s="220"/>
      <c r="O619" s="220"/>
      <c r="P619" s="220"/>
      <c r="Q619" s="220"/>
      <c r="S619" s="227" t="str">
        <f ca="1"/>
        <v>NCLH</v>
      </c>
      <c r="AB619" s="14" t="s">
        <v>1826</v>
      </c>
    </row>
    <row r="620" spans="1:28" ht="30" customHeight="1" x14ac:dyDescent="0.55000000000000004">
      <c r="A620" s="251" t="s">
        <v>1827</v>
      </c>
      <c r="B620" s="252" t="s">
        <v>1828</v>
      </c>
      <c r="C620" s="140">
        <v>3.4678843799999998E-2</v>
      </c>
      <c r="D620" s="248">
        <f t="shared" si="18"/>
        <v>3.4678843799999999E-4</v>
      </c>
      <c r="E620" s="69">
        <f t="shared" ca="1" si="19"/>
        <v>1.034500406362463E-2</v>
      </c>
      <c r="F620" s="249" t="s">
        <v>39</v>
      </c>
      <c r="G620" s="220"/>
      <c r="H620" s="220"/>
      <c r="I620" s="220"/>
      <c r="J620" s="250" t="str" cm="1">
        <f t="array" aca="1" ref="J620" ca="1">IFERROR(INDEX(_xlfn.ANCHORARRAY($S$12),ROW()-12+1),"")</f>
        <v>MOS</v>
      </c>
      <c r="K620" s="70">
        <f ca="1">IF(Tabla16[[#This Row],[Ticker]]="",0,SUMIF(Tablaholdings[Ticker],Tabla16[[#This Row],[Ticker]],Tablaholdings[Peso Real en Portafolio])/100)</f>
        <v>4.5729055321364896E-5</v>
      </c>
      <c r="L620" s="220"/>
      <c r="M620" s="220"/>
      <c r="N620" s="220"/>
      <c r="O620" s="220"/>
      <c r="P620" s="220"/>
      <c r="Q620" s="220"/>
      <c r="S620" s="227" t="str">
        <f ca="1"/>
        <v>MOS</v>
      </c>
      <c r="AB620" s="14" t="s">
        <v>1829</v>
      </c>
    </row>
    <row r="621" spans="1:28" ht="30" customHeight="1" x14ac:dyDescent="0.55000000000000004">
      <c r="A621" s="245" t="s">
        <v>1830</v>
      </c>
      <c r="B621" s="246" t="s">
        <v>1831</v>
      </c>
      <c r="C621" s="247">
        <v>0.10403999999999999</v>
      </c>
      <c r="D621" s="248">
        <f t="shared" si="18"/>
        <v>1.0403999999999999E-3</v>
      </c>
      <c r="E621" s="69">
        <f t="shared" ca="1" si="19"/>
        <v>4.1777756547548325E-2</v>
      </c>
      <c r="F621" s="249" t="s">
        <v>37</v>
      </c>
      <c r="G621" s="220"/>
      <c r="H621" s="220"/>
      <c r="I621" s="220"/>
      <c r="J621" s="250" t="str" cm="1">
        <f t="array" aca="1" ref="J621" ca="1">IFERROR(INDEX(_xlfn.ANCHORARRAY($S$12),ROW()-12+1),"")</f>
        <v>DUOL</v>
      </c>
      <c r="K621" s="70">
        <f ca="1">IF(Tabla16[[#This Row],[Ticker]]="",0,SUMIF(Tablaholdings[Ticker],Tabla16[[#This Row],[Ticker]],Tablaholdings[Peso Real en Portafolio])/100)</f>
        <v>4.5622838602359237E-5</v>
      </c>
      <c r="L621" s="220"/>
      <c r="M621" s="220"/>
      <c r="N621" s="220"/>
      <c r="O621" s="220"/>
      <c r="P621" s="220"/>
      <c r="Q621" s="220"/>
      <c r="S621" s="227" t="str">
        <f ca="1"/>
        <v>DUOL</v>
      </c>
      <c r="AB621" s="14" t="s">
        <v>1832</v>
      </c>
    </row>
    <row r="622" spans="1:28" ht="30" customHeight="1" x14ac:dyDescent="0.55000000000000004">
      <c r="A622" s="251" t="s">
        <v>1833</v>
      </c>
      <c r="B622" s="252" t="s">
        <v>1834</v>
      </c>
      <c r="C622" s="140">
        <v>7.1227221199999996E-2</v>
      </c>
      <c r="D622" s="248">
        <f t="shared" si="18"/>
        <v>7.1227221199999993E-4</v>
      </c>
      <c r="E622" s="69">
        <f t="shared" ca="1" si="19"/>
        <v>2.1247706440394368E-2</v>
      </c>
      <c r="F622" s="249" t="s">
        <v>39</v>
      </c>
      <c r="G622" s="220"/>
      <c r="H622" s="220"/>
      <c r="I622" s="220"/>
      <c r="J622" s="250" t="str" cm="1">
        <f t="array" aca="1" ref="J622" ca="1">IFERROR(INDEX(_xlfn.ANCHORARRAY($S$12),ROW()-12+1),"")</f>
        <v>MGM</v>
      </c>
      <c r="K622" s="70">
        <f ca="1">IF(Tabla16[[#This Row],[Ticker]]="",0,SUMIF(Tablaholdings[Ticker],Tabla16[[#This Row],[Ticker]],Tablaholdings[Peso Real en Portafolio])/100)</f>
        <v>4.5042396692988239E-5</v>
      </c>
      <c r="L622" s="220"/>
      <c r="M622" s="220"/>
      <c r="N622" s="220"/>
      <c r="O622" s="220"/>
      <c r="P622" s="220"/>
      <c r="Q622" s="220"/>
      <c r="S622" s="227" t="str">
        <f ca="1"/>
        <v>MGM</v>
      </c>
      <c r="AB622" s="14" t="s">
        <v>1835</v>
      </c>
    </row>
    <row r="623" spans="1:28" ht="30" customHeight="1" x14ac:dyDescent="0.55000000000000004">
      <c r="A623" s="245" t="s">
        <v>1836</v>
      </c>
      <c r="B623" s="246" t="s">
        <v>1837</v>
      </c>
      <c r="C623" s="247">
        <v>1.9701E-2</v>
      </c>
      <c r="D623" s="248">
        <f t="shared" si="18"/>
        <v>1.9700999999999999E-4</v>
      </c>
      <c r="E623" s="69">
        <f t="shared" ca="1" si="19"/>
        <v>7.9110301974553016E-3</v>
      </c>
      <c r="F623" s="249" t="s">
        <v>37</v>
      </c>
      <c r="G623" s="220"/>
      <c r="H623" s="220"/>
      <c r="I623" s="220"/>
      <c r="J623" s="250" t="str" cm="1">
        <f t="array" aca="1" ref="J623" ca="1">IFERROR(INDEX(_xlfn.ANCHORARRAY($S$12),ROW()-12+1),"")</f>
        <v>AMSF</v>
      </c>
      <c r="K623" s="70">
        <f ca="1">IF(Tabla16[[#This Row],[Ticker]]="",0,SUMIF(Tablaholdings[Ticker],Tabla16[[#This Row],[Ticker]],Tablaholdings[Peso Real en Portafolio])/100)</f>
        <v>4.4655304801434281E-5</v>
      </c>
      <c r="L623" s="220"/>
      <c r="M623" s="220"/>
      <c r="N623" s="220"/>
      <c r="O623" s="220"/>
      <c r="P623" s="220"/>
      <c r="Q623" s="220"/>
      <c r="S623" s="227" t="str">
        <f ca="1"/>
        <v>AMSF</v>
      </c>
      <c r="AB623" s="14" t="s">
        <v>1838</v>
      </c>
    </row>
    <row r="624" spans="1:28" ht="30" customHeight="1" x14ac:dyDescent="0.55000000000000004">
      <c r="A624" s="251" t="s">
        <v>1839</v>
      </c>
      <c r="B624" s="252" t="s">
        <v>1840</v>
      </c>
      <c r="C624" s="140">
        <v>0.25451305070000002</v>
      </c>
      <c r="D624" s="248">
        <f t="shared" si="18"/>
        <v>2.5451305070000002E-3</v>
      </c>
      <c r="E624" s="69">
        <f t="shared" ca="1" si="19"/>
        <v>7.5923481155303146E-2</v>
      </c>
      <c r="F624" s="249" t="s">
        <v>39</v>
      </c>
      <c r="G624" s="220"/>
      <c r="H624" s="220"/>
      <c r="I624" s="220"/>
      <c r="J624" s="250" t="str" cm="1">
        <f t="array" aca="1" ref="J624" ca="1">IFERROR(INDEX(_xlfn.ANCHORARRAY($S$12),ROW()-12+1),"")</f>
        <v>TECH</v>
      </c>
      <c r="K624" s="70">
        <f ca="1">IF(Tabla16[[#This Row],[Ticker]]="",0,SUMIF(Tablaholdings[Ticker],Tabla16[[#This Row],[Ticker]],Tablaholdings[Peso Real en Portafolio])/100)</f>
        <v>4.4395893539955247E-5</v>
      </c>
      <c r="L624" s="220"/>
      <c r="M624" s="220"/>
      <c r="N624" s="220"/>
      <c r="O624" s="220"/>
      <c r="P624" s="220"/>
      <c r="Q624" s="220"/>
      <c r="S624" s="227" t="str">
        <f ca="1"/>
        <v>TECH</v>
      </c>
      <c r="AB624" s="14" t="s">
        <v>1841</v>
      </c>
    </row>
    <row r="625" spans="1:28" ht="30" customHeight="1" x14ac:dyDescent="0.55000000000000004">
      <c r="A625" s="245" t="s">
        <v>1839</v>
      </c>
      <c r="B625" s="246" t="s">
        <v>1840</v>
      </c>
      <c r="C625" s="247">
        <v>0.113679</v>
      </c>
      <c r="D625" s="248">
        <f t="shared" si="18"/>
        <v>1.1367899999999999E-3</v>
      </c>
      <c r="E625" s="69">
        <f t="shared" ca="1" si="19"/>
        <v>4.5648342815924135E-2</v>
      </c>
      <c r="F625" s="249" t="s">
        <v>37</v>
      </c>
      <c r="G625" s="220"/>
      <c r="H625" s="220"/>
      <c r="I625" s="220"/>
      <c r="J625" s="253" t="str" cm="1">
        <f t="array" aca="1" ref="J625" ca="1">IFERROR(INDEX(_xlfn.ANCHORARRAY($S$12),ROW()-12+1),"")</f>
        <v>TAP</v>
      </c>
      <c r="K625" s="70">
        <f ca="1">IF(Tabla16[[#This Row],[Ticker]]="",0,SUMIF(Tablaholdings[Ticker],Tabla16[[#This Row],[Ticker]],Tablaholdings[Peso Real en Portafolio])/100)</f>
        <v>4.4347706969542845E-5</v>
      </c>
      <c r="L625" s="220"/>
      <c r="M625" s="220"/>
      <c r="N625" s="220"/>
      <c r="O625" s="220"/>
      <c r="P625" s="220"/>
      <c r="Q625" s="220"/>
      <c r="S625" s="227" t="str">
        <f ca="1"/>
        <v>TAP</v>
      </c>
      <c r="AB625" s="14" t="s">
        <v>1842</v>
      </c>
    </row>
    <row r="626" spans="1:28" ht="30" customHeight="1" x14ac:dyDescent="0.55000000000000004">
      <c r="A626" s="251" t="s">
        <v>1843</v>
      </c>
      <c r="B626" s="252" t="s">
        <v>1844</v>
      </c>
      <c r="C626" s="140">
        <v>0.59816146709999996</v>
      </c>
      <c r="D626" s="248">
        <f t="shared" si="18"/>
        <v>5.9816146709999992E-3</v>
      </c>
      <c r="E626" s="69">
        <f t="shared" ca="1" si="19"/>
        <v>0.17953006092774512</v>
      </c>
      <c r="F626" s="249" t="s">
        <v>38</v>
      </c>
      <c r="G626" s="220"/>
      <c r="H626" s="220"/>
      <c r="I626" s="220"/>
      <c r="J626" s="250" t="str" cm="1">
        <f t="array" aca="1" ref="J626" ca="1">IFERROR(INDEX(_xlfn.ANCHORARRAY($S$12),ROW()-12+1),"")</f>
        <v>HSIC</v>
      </c>
      <c r="K626" s="70">
        <f ca="1">IF(Tabla16[[#This Row],[Ticker]]="",0,SUMIF(Tablaholdings[Ticker],Tabla16[[#This Row],[Ticker]],Tablaholdings[Peso Real en Portafolio])/100)</f>
        <v>4.4034494261862265E-5</v>
      </c>
      <c r="L626" s="220"/>
      <c r="M626" s="220"/>
      <c r="N626" s="220"/>
      <c r="O626" s="220"/>
      <c r="P626" s="220"/>
      <c r="Q626" s="220"/>
      <c r="S626" s="227" t="str">
        <f ca="1"/>
        <v>HSIC</v>
      </c>
      <c r="AB626" s="14" t="s">
        <v>1845</v>
      </c>
    </row>
    <row r="627" spans="1:28" ht="30" customHeight="1" x14ac:dyDescent="0.55000000000000004">
      <c r="A627" s="245" t="s">
        <v>1843</v>
      </c>
      <c r="B627" s="246" t="s">
        <v>1844</v>
      </c>
      <c r="C627" s="247">
        <v>3.6132999999999998E-2</v>
      </c>
      <c r="D627" s="248">
        <f t="shared" si="18"/>
        <v>3.6132999999999998E-4</v>
      </c>
      <c r="E627" s="69">
        <f t="shared" ca="1" si="19"/>
        <v>1.4509377905926218E-2</v>
      </c>
      <c r="F627" s="249" t="s">
        <v>37</v>
      </c>
      <c r="G627" s="220"/>
      <c r="H627" s="220"/>
      <c r="I627" s="220"/>
      <c r="J627" s="253" t="str" cm="1">
        <f t="array" aca="1" ref="J627" ca="1">IFERROR(INDEX(_xlfn.ANCHORARRAY($S$12),ROW()-12+1),"")</f>
        <v>OXM</v>
      </c>
      <c r="K627" s="70">
        <f ca="1">IF(Tabla16[[#This Row],[Ticker]]="",0,SUMIF(Tablaholdings[Ticker],Tabla16[[#This Row],[Ticker]],Tablaholdings[Peso Real en Portafolio])/100)</f>
        <v>4.3411553447508737E-5</v>
      </c>
      <c r="L627" s="220"/>
      <c r="M627" s="220"/>
      <c r="N627" s="220"/>
      <c r="O627" s="220"/>
      <c r="P627" s="220"/>
      <c r="Q627" s="220"/>
      <c r="S627" s="227" t="str">
        <f ca="1"/>
        <v>OXM</v>
      </c>
      <c r="AB627" s="14" t="s">
        <v>1846</v>
      </c>
    </row>
    <row r="628" spans="1:28" ht="30" customHeight="1" x14ac:dyDescent="0.55000000000000004">
      <c r="A628" s="251" t="s">
        <v>1847</v>
      </c>
      <c r="B628" s="252" t="s">
        <v>1848</v>
      </c>
      <c r="C628" s="140">
        <v>1.95992296E-2</v>
      </c>
      <c r="D628" s="248">
        <f t="shared" si="18"/>
        <v>1.9599229600000001E-4</v>
      </c>
      <c r="E628" s="69">
        <f t="shared" ca="1" si="19"/>
        <v>5.8466225409715689E-3</v>
      </c>
      <c r="F628" s="249" t="s">
        <v>39</v>
      </c>
      <c r="G628" s="220"/>
      <c r="H628" s="220"/>
      <c r="I628" s="220"/>
      <c r="J628" s="253" t="str" cm="1">
        <f t="array" aca="1" ref="J628" ca="1">IFERROR(INDEX(_xlfn.ANCHORARRAY($S$12),ROW()-12+1),"")</f>
        <v>OLED</v>
      </c>
      <c r="K628" s="70">
        <f ca="1">IF(Tabla16[[#This Row],[Ticker]]="",0,SUMIF(Tablaholdings[Ticker],Tabla16[[#This Row],[Ticker]],Tablaholdings[Peso Real en Portafolio])/100)</f>
        <v>4.2961936094203269E-5</v>
      </c>
      <c r="L628" s="220"/>
      <c r="M628" s="220"/>
      <c r="N628" s="220"/>
      <c r="O628" s="220"/>
      <c r="P628" s="220"/>
      <c r="Q628" s="220"/>
      <c r="S628" s="227" t="str">
        <f ca="1"/>
        <v>OLED</v>
      </c>
      <c r="AB628" s="14" t="s">
        <v>1849</v>
      </c>
    </row>
    <row r="629" spans="1:28" ht="30" customHeight="1" x14ac:dyDescent="0.55000000000000004">
      <c r="A629" s="251" t="s">
        <v>1850</v>
      </c>
      <c r="B629" s="252" t="s">
        <v>1851</v>
      </c>
      <c r="C629" s="140">
        <v>6.2914960300000003E-2</v>
      </c>
      <c r="D629" s="248">
        <f t="shared" si="18"/>
        <v>6.2914960300000005E-4</v>
      </c>
      <c r="E629" s="69">
        <f t="shared" ca="1" si="19"/>
        <v>1.8883073011517405E-2</v>
      </c>
      <c r="F629" s="249" t="s">
        <v>38</v>
      </c>
      <c r="G629" s="220"/>
      <c r="H629" s="220"/>
      <c r="I629" s="220"/>
      <c r="J629" s="250" t="str" cm="1">
        <f t="array" aca="1" ref="J629" ca="1">IFERROR(INDEX(_xlfn.ANCHORARRAY($S$12),ROW()-12+1),"")</f>
        <v>CAG</v>
      </c>
      <c r="K629" s="70">
        <f ca="1">IF(Tabla16[[#This Row],[Ticker]]="",0,SUMIF(Tablaholdings[Ticker],Tabla16[[#This Row],[Ticker]],Tablaholdings[Peso Real en Portafolio])/100)</f>
        <v>4.2496539556199918E-5</v>
      </c>
      <c r="L629" s="220"/>
      <c r="M629" s="220"/>
      <c r="N629" s="220"/>
      <c r="O629" s="220"/>
      <c r="P629" s="220"/>
      <c r="Q629" s="220"/>
      <c r="S629" s="227" t="str">
        <f ca="1"/>
        <v>CAG</v>
      </c>
      <c r="AB629" s="14" t="s">
        <v>1852</v>
      </c>
    </row>
    <row r="630" spans="1:28" ht="30" customHeight="1" x14ac:dyDescent="0.55000000000000004">
      <c r="A630" s="245" t="s">
        <v>1853</v>
      </c>
      <c r="B630" s="246" t="s">
        <v>1854</v>
      </c>
      <c r="C630" s="247">
        <v>4.2243000000000003E-2</v>
      </c>
      <c r="D630" s="248">
        <f t="shared" si="18"/>
        <v>4.2243000000000001E-4</v>
      </c>
      <c r="E630" s="69">
        <f t="shared" ca="1" si="19"/>
        <v>1.6962877449424107E-2</v>
      </c>
      <c r="F630" s="249" t="s">
        <v>37</v>
      </c>
      <c r="G630" s="220"/>
      <c r="H630" s="220"/>
      <c r="I630" s="220"/>
      <c r="J630" s="250" t="str" cm="1">
        <f t="array" aca="1" ref="J630" ca="1">IFERROR(INDEX(_xlfn.ANCHORARRAY($S$12),ROW()-12+1),"")</f>
        <v>DVA</v>
      </c>
      <c r="K630" s="70">
        <f ca="1">IF(Tabla16[[#This Row],[Ticker]]="",0,SUMIF(Tablaholdings[Ticker],Tabla16[[#This Row],[Ticker]],Tablaholdings[Peso Real en Portafolio])/100)</f>
        <v>4.1042911348759267E-5</v>
      </c>
      <c r="L630" s="220"/>
      <c r="M630" s="220"/>
      <c r="N630" s="220"/>
      <c r="O630" s="220"/>
      <c r="P630" s="220"/>
      <c r="Q630" s="220"/>
      <c r="S630" s="227" t="str">
        <f ca="1"/>
        <v>DVA</v>
      </c>
      <c r="AB630" s="14" t="s">
        <v>1855</v>
      </c>
    </row>
    <row r="631" spans="1:28" ht="30" customHeight="1" x14ac:dyDescent="0.55000000000000004">
      <c r="A631" s="251" t="s">
        <v>1856</v>
      </c>
      <c r="B631" s="252" t="s">
        <v>1857</v>
      </c>
      <c r="C631" s="140">
        <v>0.22098154840000001</v>
      </c>
      <c r="D631" s="248">
        <f t="shared" si="18"/>
        <v>2.2098154840000002E-3</v>
      </c>
      <c r="E631" s="69">
        <f t="shared" ca="1" si="19"/>
        <v>6.5920739150595986E-2</v>
      </c>
      <c r="F631" s="249" t="s">
        <v>39</v>
      </c>
      <c r="G631" s="220"/>
      <c r="H631" s="220"/>
      <c r="I631" s="220"/>
      <c r="J631" s="250" t="str" cm="1">
        <f t="array" aca="1" ref="J631" ca="1">IFERROR(INDEX(_xlfn.ANCHORARRAY($S$12),ROW()-12+1),"")</f>
        <v>ESM6</v>
      </c>
      <c r="K631" s="70">
        <f ca="1">IF(Tabla16[[#This Row],[Ticker]]="",0,SUMIF(Tablaholdings[Ticker],Tabla16[[#This Row],[Ticker]],Tablaholdings[Peso Real en Portafolio])/100)</f>
        <v>4.0862211709712779E-5</v>
      </c>
      <c r="L631" s="220"/>
      <c r="M631" s="220"/>
      <c r="N631" s="220"/>
      <c r="O631" s="220"/>
      <c r="P631" s="220"/>
      <c r="Q631" s="220"/>
      <c r="S631" s="227" t="str">
        <f ca="1"/>
        <v>ESM6</v>
      </c>
      <c r="AB631" s="14" t="s">
        <v>1858</v>
      </c>
    </row>
    <row r="632" spans="1:28" ht="30" customHeight="1" x14ac:dyDescent="0.55000000000000004">
      <c r="A632" s="245" t="s">
        <v>1859</v>
      </c>
      <c r="B632" s="246" t="s">
        <v>1860</v>
      </c>
      <c r="C632" s="247">
        <v>2.0319E-2</v>
      </c>
      <c r="D632" s="248">
        <f t="shared" si="18"/>
        <v>2.0319000000000001E-4</v>
      </c>
      <c r="E632" s="69">
        <f t="shared" ca="1" si="19"/>
        <v>8.1591910350791476E-3</v>
      </c>
      <c r="F632" s="249" t="s">
        <v>37</v>
      </c>
      <c r="G632" s="220"/>
      <c r="H632" s="220"/>
      <c r="I632" s="220"/>
      <c r="J632" s="250" t="str" cm="1">
        <f t="array" aca="1" ref="J632" ca="1">IFERROR(INDEX(_xlfn.ANCHORARRAY($S$12),ROW()-12+1),"")</f>
        <v>AOS</v>
      </c>
      <c r="K632" s="70">
        <f ca="1">IF(Tabla16[[#This Row],[Ticker]]="",0,SUMIF(Tablaholdings[Ticker],Tabla16[[#This Row],[Ticker]],Tablaholdings[Peso Real en Portafolio])/100)</f>
        <v>4.0396408195726275E-5</v>
      </c>
      <c r="L632" s="220"/>
      <c r="M632" s="220"/>
      <c r="N632" s="220"/>
      <c r="O632" s="220"/>
      <c r="P632" s="220"/>
      <c r="Q632" s="220"/>
      <c r="S632" s="227" t="str">
        <f ca="1"/>
        <v>AOS</v>
      </c>
      <c r="AB632" s="14" t="s">
        <v>1861</v>
      </c>
    </row>
    <row r="633" spans="1:28" ht="30" customHeight="1" x14ac:dyDescent="0.55000000000000004">
      <c r="A633" s="251" t="s">
        <v>1862</v>
      </c>
      <c r="B633" s="252" t="s">
        <v>1863</v>
      </c>
      <c r="C633" s="140">
        <v>0.10321353730000001</v>
      </c>
      <c r="D633" s="248">
        <f t="shared" si="18"/>
        <v>1.032135373E-3</v>
      </c>
      <c r="E633" s="69">
        <f t="shared" ca="1" si="19"/>
        <v>3.0789505813615746E-2</v>
      </c>
      <c r="F633" s="249" t="s">
        <v>39</v>
      </c>
      <c r="G633" s="220"/>
      <c r="H633" s="220"/>
      <c r="I633" s="220"/>
      <c r="J633" s="253" t="str" cm="1">
        <f t="array" aca="1" ref="J633" ca="1">IFERROR(INDEX(_xlfn.ANCHORARRAY($S$12),ROW()-12+1),"")</f>
        <v>EBF</v>
      </c>
      <c r="K633" s="70">
        <f ca="1">IF(Tabla16[[#This Row],[Ticker]]="",0,SUMIF(Tablaholdings[Ticker],Tabla16[[#This Row],[Ticker]],Tablaholdings[Peso Real en Portafolio])/100)</f>
        <v>3.990635645937678E-5</v>
      </c>
      <c r="L633" s="220"/>
      <c r="M633" s="220"/>
      <c r="N633" s="220"/>
      <c r="O633" s="220"/>
      <c r="P633" s="220"/>
      <c r="Q633" s="220"/>
      <c r="S633" s="227" t="str">
        <f ca="1"/>
        <v>EBF</v>
      </c>
      <c r="AB633" s="14" t="s">
        <v>1864</v>
      </c>
    </row>
    <row r="634" spans="1:28" ht="30" customHeight="1" x14ac:dyDescent="0.55000000000000004">
      <c r="A634" s="245" t="s">
        <v>1862</v>
      </c>
      <c r="B634" s="246" t="s">
        <v>1863</v>
      </c>
      <c r="C634" s="247">
        <v>4.5992999999999999E-2</v>
      </c>
      <c r="D634" s="248">
        <f t="shared" si="18"/>
        <v>4.5993E-4</v>
      </c>
      <c r="E634" s="69">
        <f t="shared" ca="1" si="19"/>
        <v>1.8468707774811518E-2</v>
      </c>
      <c r="F634" s="249" t="s">
        <v>37</v>
      </c>
      <c r="G634" s="220"/>
      <c r="H634" s="220"/>
      <c r="I634" s="220"/>
      <c r="J634" s="250" t="str" cm="1">
        <f t="array" aca="1" ref="J634" ca="1">IFERROR(INDEX(_xlfn.ANCHORARRAY($S$12),ROW()-12+1),"")</f>
        <v>HRL</v>
      </c>
      <c r="K634" s="70">
        <f ca="1">IF(Tabla16[[#This Row],[Ticker]]="",0,SUMIF(Tablaholdings[Ticker],Tabla16[[#This Row],[Ticker]],Tablaholdings[Peso Real en Portafolio])/100)</f>
        <v>3.6344720733550555E-5</v>
      </c>
      <c r="L634" s="220"/>
      <c r="M634" s="220"/>
      <c r="N634" s="220"/>
      <c r="O634" s="220"/>
      <c r="P634" s="220"/>
      <c r="Q634" s="220"/>
      <c r="S634" s="227" t="str">
        <f ca="1"/>
        <v>HRL</v>
      </c>
      <c r="AB634" s="14" t="s">
        <v>1865</v>
      </c>
    </row>
    <row r="635" spans="1:28" ht="30" customHeight="1" x14ac:dyDescent="0.55000000000000004">
      <c r="A635" s="251" t="s">
        <v>1866</v>
      </c>
      <c r="B635" s="252" t="s">
        <v>1867</v>
      </c>
      <c r="C635" s="140">
        <v>4.7286810300000003E-2</v>
      </c>
      <c r="D635" s="248">
        <f t="shared" si="18"/>
        <v>4.7286810300000001E-4</v>
      </c>
      <c r="E635" s="69">
        <f t="shared" ca="1" si="19"/>
        <v>1.4106071342244317E-2</v>
      </c>
      <c r="F635" s="249" t="s">
        <v>39</v>
      </c>
      <c r="G635" s="220"/>
      <c r="H635" s="220"/>
      <c r="I635" s="220"/>
      <c r="J635" s="253" t="str" cm="1">
        <f t="array" aca="1" ref="J635" ca="1">IFERROR(INDEX(_xlfn.ANCHORARRAY($S$12),ROW()-12+1),"")</f>
        <v>WING</v>
      </c>
      <c r="K635" s="70">
        <f ca="1">IF(Tabla16[[#This Row],[Ticker]]="",0,SUMIF(Tablaholdings[Ticker],Tabla16[[#This Row],[Ticker]],Tablaholdings[Peso Real en Portafolio])/100)</f>
        <v>3.5445075636437906E-5</v>
      </c>
      <c r="L635" s="220"/>
      <c r="M635" s="220"/>
      <c r="N635" s="220"/>
      <c r="O635" s="220"/>
      <c r="P635" s="220"/>
      <c r="Q635" s="220"/>
      <c r="S635" s="227" t="str">
        <f ca="1"/>
        <v>WING</v>
      </c>
      <c r="AB635" s="14" t="s">
        <v>1868</v>
      </c>
    </row>
    <row r="636" spans="1:28" ht="30" customHeight="1" x14ac:dyDescent="0.55000000000000004">
      <c r="A636" s="245" t="s">
        <v>1869</v>
      </c>
      <c r="B636" s="246" t="s">
        <v>1870</v>
      </c>
      <c r="C636" s="247">
        <v>8.0288999999999999E-2</v>
      </c>
      <c r="D636" s="248">
        <f t="shared" si="18"/>
        <v>8.0289000000000001E-4</v>
      </c>
      <c r="E636" s="69">
        <f t="shared" ca="1" si="19"/>
        <v>3.2240429598674625E-2</v>
      </c>
      <c r="F636" s="249" t="s">
        <v>37</v>
      </c>
      <c r="G636" s="220"/>
      <c r="H636" s="220"/>
      <c r="I636" s="220"/>
      <c r="J636" s="253" t="str" cm="1">
        <f t="array" aca="1" ref="J636" ca="1">IFERROR(INDEX(_xlfn.ANCHORARRAY($S$12),ROW()-12+1),"")</f>
        <v>ETD</v>
      </c>
      <c r="K636" s="70">
        <f ca="1">IF(Tabla16[[#This Row],[Ticker]]="",0,SUMIF(Tablaholdings[Ticker],Tabla16[[#This Row],[Ticker]],Tablaholdings[Peso Real en Portafolio])/100)</f>
        <v>3.3753934647997689E-5</v>
      </c>
      <c r="L636" s="220"/>
      <c r="M636" s="220"/>
      <c r="N636" s="220"/>
      <c r="O636" s="220"/>
      <c r="P636" s="220"/>
      <c r="Q636" s="220"/>
      <c r="S636" s="227" t="str">
        <f ca="1"/>
        <v>ETD</v>
      </c>
      <c r="AB636" s="14" t="s">
        <v>1871</v>
      </c>
    </row>
    <row r="637" spans="1:28" ht="30" customHeight="1" x14ac:dyDescent="0.55000000000000004">
      <c r="A637" s="245" t="s">
        <v>1872</v>
      </c>
      <c r="B637" s="246" t="s">
        <v>1873</v>
      </c>
      <c r="C637" s="247">
        <v>2.4240999999999999E-2</v>
      </c>
      <c r="D637" s="248">
        <f t="shared" si="18"/>
        <v>2.4240999999999998E-4</v>
      </c>
      <c r="E637" s="69">
        <f t="shared" ca="1" si="19"/>
        <v>9.7340887780576601E-3</v>
      </c>
      <c r="F637" s="249" t="s">
        <v>37</v>
      </c>
      <c r="G637" s="220"/>
      <c r="H637" s="220"/>
      <c r="I637" s="220"/>
      <c r="J637" s="250" t="str" cm="1">
        <f t="array" aca="1" ref="J637" ca="1">IFERROR(INDEX(_xlfn.ANCHORARRAY($S$12),ROW()-12+1),"")</f>
        <v>EPAM</v>
      </c>
      <c r="K637" s="70">
        <f ca="1">IF(Tabla16[[#This Row],[Ticker]]="",0,SUMIF(Tablaholdings[Ticker],Tabla16[[#This Row],[Ticker]],Tablaholdings[Peso Real en Portafolio])/100)</f>
        <v>3.1546141429982667E-5</v>
      </c>
      <c r="L637" s="220"/>
      <c r="M637" s="220"/>
      <c r="N637" s="220"/>
      <c r="O637" s="220"/>
      <c r="P637" s="220"/>
      <c r="Q637" s="220"/>
      <c r="S637" s="227" t="str">
        <f ca="1"/>
        <v>EPAM</v>
      </c>
      <c r="AB637" s="14" t="s">
        <v>1874</v>
      </c>
    </row>
    <row r="638" spans="1:28" ht="30" customHeight="1" x14ac:dyDescent="0.55000000000000004">
      <c r="A638" s="251" t="s">
        <v>1875</v>
      </c>
      <c r="B638" s="252" t="s">
        <v>1876</v>
      </c>
      <c r="C638" s="140">
        <v>0.11923398089999999</v>
      </c>
      <c r="D638" s="248">
        <f t="shared" si="18"/>
        <v>1.192339809E-3</v>
      </c>
      <c r="E638" s="69">
        <f t="shared" ca="1" si="19"/>
        <v>3.556854501973452E-2</v>
      </c>
      <c r="F638" s="249" t="s">
        <v>39</v>
      </c>
      <c r="G638" s="220"/>
      <c r="H638" s="220"/>
      <c r="I638" s="220"/>
      <c r="J638" s="250" t="str" cm="1">
        <f t="array" aca="1" ref="J638" ca="1">IFERROR(INDEX(_xlfn.ANCHORARRAY($S$12),ROW()-12+1),"")</f>
        <v>BF.B</v>
      </c>
      <c r="K638" s="70">
        <f ca="1">IF(Tabla16[[#This Row],[Ticker]]="",0,SUMIF(Tablaholdings[Ticker],Tabla16[[#This Row],[Ticker]],Tablaholdings[Peso Real en Portafolio])/100)</f>
        <v>2.8148988215908666E-5</v>
      </c>
      <c r="L638" s="220"/>
      <c r="M638" s="220"/>
      <c r="N638" s="220"/>
      <c r="O638" s="220"/>
      <c r="P638" s="220"/>
      <c r="Q638" s="220"/>
      <c r="S638" s="227" t="str">
        <f ca="1"/>
        <v>BF.B</v>
      </c>
      <c r="AB638" s="14" t="s">
        <v>1877</v>
      </c>
    </row>
    <row r="639" spans="1:28" ht="30" customHeight="1" x14ac:dyDescent="0.55000000000000004">
      <c r="A639" s="245" t="s">
        <v>1875</v>
      </c>
      <c r="B639" s="246" t="s">
        <v>1876</v>
      </c>
      <c r="C639" s="247">
        <v>5.2690000000000001E-2</v>
      </c>
      <c r="D639" s="248">
        <f t="shared" si="18"/>
        <v>5.2689999999999996E-4</v>
      </c>
      <c r="E639" s="69">
        <f t="shared" ca="1" si="19"/>
        <v>2.1157919958576715E-2</v>
      </c>
      <c r="F639" s="249" t="s">
        <v>37</v>
      </c>
      <c r="G639" s="220"/>
      <c r="H639" s="220"/>
      <c r="I639" s="220"/>
      <c r="J639" s="250" t="str" cm="1">
        <f t="array" aca="1" ref="J639" ca="1">IFERROR(INDEX(_xlfn.ANCHORARRAY($S$12),ROW()-12+1),"")</f>
        <v>CPB</v>
      </c>
      <c r="K639" s="70">
        <f ca="1">IF(Tabla16[[#This Row],[Ticker]]="",0,SUMIF(Tablaholdings[Ticker],Tabla16[[#This Row],[Ticker]],Tablaholdings[Peso Real en Portafolio])/100)</f>
        <v>2.5077094352118346E-5</v>
      </c>
      <c r="L639" s="220"/>
      <c r="M639" s="220"/>
      <c r="N639" s="220"/>
      <c r="O639" s="220"/>
      <c r="P639" s="220"/>
      <c r="Q639" s="220"/>
      <c r="S639" s="227" t="str">
        <f ca="1"/>
        <v>CPB</v>
      </c>
      <c r="AB639" s="14" t="s">
        <v>1878</v>
      </c>
    </row>
    <row r="640" spans="1:28" ht="30" customHeight="1" x14ac:dyDescent="0.55000000000000004">
      <c r="A640" s="245" t="s">
        <v>1879</v>
      </c>
      <c r="B640" s="246" t="s">
        <v>1880</v>
      </c>
      <c r="C640" s="247">
        <v>0.107226</v>
      </c>
      <c r="D640" s="248">
        <f t="shared" si="18"/>
        <v>1.07226E-3</v>
      </c>
      <c r="E640" s="69">
        <f t="shared" ca="1" si="19"/>
        <v>4.3057109991997473E-2</v>
      </c>
      <c r="F640" s="249" t="s">
        <v>37</v>
      </c>
      <c r="G640" s="220"/>
      <c r="H640" s="220"/>
      <c r="I640" s="220"/>
      <c r="J640" s="250" t="str" cm="1">
        <f t="array" aca="1" ref="J640" ca="1">IFERROR(INDEX(_xlfn.ANCHORARRAY($S$12),ROW()-12+1),"")</f>
        <v>NWS</v>
      </c>
      <c r="K640" s="70">
        <f ca="1">IF(Tabla16[[#This Row],[Ticker]]="",0,SUMIF(Tablaholdings[Ticker],Tabla16[[#This Row],[Ticker]],Tablaholdings[Peso Real en Portafolio])/100)</f>
        <v>2.3804165783724193E-5</v>
      </c>
      <c r="L640" s="220"/>
      <c r="M640" s="220"/>
      <c r="N640" s="220"/>
      <c r="O640" s="220"/>
      <c r="P640" s="220"/>
      <c r="Q640" s="220"/>
      <c r="S640" s="227" t="str">
        <f ca="1"/>
        <v>NWS</v>
      </c>
      <c r="AB640" s="14" t="s">
        <v>1881</v>
      </c>
    </row>
    <row r="641" spans="1:28" ht="30" customHeight="1" x14ac:dyDescent="0.55000000000000004">
      <c r="A641" s="245" t="s">
        <v>1882</v>
      </c>
      <c r="B641" s="246" t="s">
        <v>1883</v>
      </c>
      <c r="C641" s="247">
        <v>6.4212000000000005E-2</v>
      </c>
      <c r="D641" s="248">
        <f t="shared" si="18"/>
        <v>6.4212000000000004E-4</v>
      </c>
      <c r="E641" s="69">
        <f t="shared" ca="1" si="19"/>
        <v>2.5784633827673719E-2</v>
      </c>
      <c r="F641" s="249" t="s">
        <v>37</v>
      </c>
      <c r="G641" s="220"/>
      <c r="H641" s="220"/>
      <c r="I641" s="220"/>
      <c r="J641" s="250" t="str" cm="1">
        <f t="array" aca="1" ref="J641" ca="1">IFERROR(INDEX(_xlfn.ANCHORARRAY($S$12),ROW()-12+1),"")</f>
        <v>PSKY</v>
      </c>
      <c r="K641" s="70">
        <f ca="1">IF(Tabla16[[#This Row],[Ticker]]="",0,SUMIF(Tablaholdings[Ticker],Tabla16[[#This Row],[Ticker]],Tablaholdings[Peso Real en Portafolio])/100)</f>
        <v>2.0346779356634697E-5</v>
      </c>
      <c r="L641" s="220"/>
      <c r="M641" s="220"/>
      <c r="N641" s="220"/>
      <c r="O641" s="220"/>
      <c r="P641" s="220"/>
      <c r="Q641" s="220"/>
      <c r="S641" s="227" t="str">
        <f ca="1"/>
        <v>PSKY</v>
      </c>
      <c r="AB641" s="14" t="s">
        <v>1884</v>
      </c>
    </row>
    <row r="642" spans="1:28" ht="30" customHeight="1" x14ac:dyDescent="0.55000000000000004">
      <c r="A642" s="245" t="s">
        <v>1885</v>
      </c>
      <c r="B642" s="246" t="s">
        <v>1886</v>
      </c>
      <c r="C642" s="247">
        <v>0.37431399999999998</v>
      </c>
      <c r="D642" s="248">
        <f t="shared" si="18"/>
        <v>3.7431399999999998E-3</v>
      </c>
      <c r="E642" s="69">
        <f t="shared" ca="1" si="19"/>
        <v>0.15030756597788356</v>
      </c>
      <c r="F642" s="249" t="s">
        <v>37</v>
      </c>
      <c r="G642" s="220"/>
      <c r="H642" s="220"/>
      <c r="I642" s="220"/>
      <c r="J642" s="251"/>
      <c r="K642" s="254"/>
      <c r="L642" s="220"/>
      <c r="M642" s="220"/>
      <c r="N642" s="220"/>
      <c r="O642" s="220"/>
      <c r="P642" s="220"/>
      <c r="Q642" s="220"/>
      <c r="S642" s="227"/>
      <c r="AB642" s="14" t="s">
        <v>1887</v>
      </c>
    </row>
    <row r="643" spans="1:28" ht="30" customHeight="1" x14ac:dyDescent="0.55000000000000004">
      <c r="A643" s="245" t="s">
        <v>1888</v>
      </c>
      <c r="B643" s="246" t="s">
        <v>1889</v>
      </c>
      <c r="C643" s="247">
        <v>1.6917000000000001E-2</v>
      </c>
      <c r="D643" s="248">
        <f t="shared" si="18"/>
        <v>1.6917000000000001E-4</v>
      </c>
      <c r="E643" s="69">
        <f t="shared" ca="1" si="19"/>
        <v>6.7931017638876894E-3</v>
      </c>
      <c r="F643" s="249" t="s">
        <v>37</v>
      </c>
      <c r="G643" s="220"/>
      <c r="H643" s="220"/>
      <c r="I643" s="220"/>
      <c r="J643" s="251"/>
      <c r="K643" s="254"/>
      <c r="L643" s="220"/>
      <c r="M643" s="220"/>
      <c r="N643" s="220"/>
      <c r="O643" s="220"/>
      <c r="P643" s="220"/>
      <c r="Q643" s="220"/>
      <c r="S643" s="227"/>
      <c r="AB643" s="14" t="s">
        <v>1890</v>
      </c>
    </row>
    <row r="644" spans="1:28" ht="30" customHeight="1" x14ac:dyDescent="0.55000000000000004">
      <c r="A644" s="251" t="s">
        <v>1891</v>
      </c>
      <c r="B644" s="252" t="s">
        <v>1892</v>
      </c>
      <c r="C644" s="140">
        <v>4.2371023600000002E-2</v>
      </c>
      <c r="D644" s="248">
        <f t="shared" si="18"/>
        <v>4.2371023600000003E-4</v>
      </c>
      <c r="E644" s="69">
        <f t="shared" ca="1" si="19"/>
        <v>1.2639648941292993E-2</v>
      </c>
      <c r="F644" s="249" t="s">
        <v>39</v>
      </c>
      <c r="G644" s="220"/>
      <c r="H644" s="220"/>
      <c r="I644" s="220"/>
      <c r="J644" s="251"/>
      <c r="K644" s="254"/>
      <c r="L644" s="220"/>
      <c r="M644" s="220"/>
      <c r="N644" s="220"/>
      <c r="O644" s="220"/>
      <c r="P644" s="220"/>
      <c r="Q644" s="220"/>
      <c r="S644" s="227"/>
      <c r="AB644" s="14" t="s">
        <v>1893</v>
      </c>
    </row>
    <row r="645" spans="1:28" ht="30" customHeight="1" x14ac:dyDescent="0.55000000000000004">
      <c r="A645" s="245" t="s">
        <v>1894</v>
      </c>
      <c r="B645" s="246" t="s">
        <v>1895</v>
      </c>
      <c r="C645" s="247">
        <v>2.7990000000000001E-2</v>
      </c>
      <c r="D645" s="248">
        <f t="shared" si="18"/>
        <v>2.7990000000000003E-4</v>
      </c>
      <c r="E645" s="69">
        <f t="shared" ca="1" si="19"/>
        <v>1.1239517548691636E-2</v>
      </c>
      <c r="F645" s="249" t="s">
        <v>37</v>
      </c>
      <c r="G645" s="220"/>
      <c r="H645" s="220"/>
      <c r="I645" s="220"/>
      <c r="J645" s="251"/>
      <c r="K645" s="254"/>
      <c r="L645" s="220"/>
      <c r="M645" s="220"/>
      <c r="N645" s="220"/>
      <c r="O645" s="220"/>
      <c r="P645" s="220"/>
      <c r="Q645" s="220"/>
      <c r="S645" s="227"/>
      <c r="AB645" s="14" t="s">
        <v>1896</v>
      </c>
    </row>
    <row r="646" spans="1:28" ht="30" customHeight="1" x14ac:dyDescent="0.55000000000000004">
      <c r="A646" s="251" t="s">
        <v>1897</v>
      </c>
      <c r="B646" s="252" t="s">
        <v>1898</v>
      </c>
      <c r="C646" s="140">
        <v>7.5646144200000001E-2</v>
      </c>
      <c r="D646" s="248">
        <f t="shared" si="18"/>
        <v>7.5646144200000002E-4</v>
      </c>
      <c r="E646" s="69">
        <f t="shared" ca="1" si="19"/>
        <v>2.2565910030326177E-2</v>
      </c>
      <c r="F646" s="249" t="s">
        <v>39</v>
      </c>
      <c r="G646" s="220"/>
      <c r="H646" s="220"/>
      <c r="I646" s="220"/>
      <c r="J646" s="251"/>
      <c r="K646" s="254"/>
      <c r="L646" s="220"/>
      <c r="M646" s="220"/>
      <c r="N646" s="220"/>
      <c r="O646" s="220"/>
      <c r="P646" s="220"/>
      <c r="Q646" s="220"/>
      <c r="S646" s="227"/>
      <c r="AB646" s="14" t="s">
        <v>1899</v>
      </c>
    </row>
    <row r="647" spans="1:28" ht="30" customHeight="1" x14ac:dyDescent="0.55000000000000004">
      <c r="A647" s="245" t="s">
        <v>1897</v>
      </c>
      <c r="B647" s="246" t="s">
        <v>1900</v>
      </c>
      <c r="C647" s="247">
        <v>3.4675999999999998E-2</v>
      </c>
      <c r="D647" s="248">
        <f t="shared" si="18"/>
        <v>3.4675999999999999E-4</v>
      </c>
      <c r="E647" s="69">
        <f t="shared" ca="1" si="19"/>
        <v>1.3924312630169029E-2</v>
      </c>
      <c r="F647" s="249" t="s">
        <v>37</v>
      </c>
      <c r="G647" s="220"/>
      <c r="H647" s="220"/>
      <c r="I647" s="220"/>
      <c r="J647" s="251"/>
      <c r="K647" s="254"/>
      <c r="L647" s="220"/>
      <c r="M647" s="220"/>
      <c r="N647" s="220"/>
      <c r="O647" s="220"/>
      <c r="P647" s="220"/>
      <c r="Q647" s="220"/>
      <c r="S647" s="227"/>
      <c r="AB647" s="14" t="s">
        <v>1901</v>
      </c>
    </row>
    <row r="648" spans="1:28" ht="30" customHeight="1" x14ac:dyDescent="0.55000000000000004">
      <c r="A648" s="245" t="s">
        <v>1902</v>
      </c>
      <c r="B648" s="246" t="s">
        <v>1903</v>
      </c>
      <c r="C648" s="247">
        <v>0.18909200000000001</v>
      </c>
      <c r="D648" s="248">
        <f t="shared" si="18"/>
        <v>1.8909200000000001E-3</v>
      </c>
      <c r="E648" s="69">
        <f t="shared" ca="1" si="19"/>
        <v>7.5930791436841685E-2</v>
      </c>
      <c r="F648" s="249" t="s">
        <v>37</v>
      </c>
      <c r="G648" s="220"/>
      <c r="H648" s="220"/>
      <c r="I648" s="220"/>
      <c r="J648" s="251"/>
      <c r="K648" s="254"/>
      <c r="L648" s="220"/>
      <c r="M648" s="220"/>
      <c r="N648" s="220"/>
      <c r="O648" s="220"/>
      <c r="P648" s="220"/>
      <c r="Q648" s="220"/>
      <c r="S648" s="227"/>
      <c r="AB648" s="14" t="s">
        <v>1904</v>
      </c>
    </row>
    <row r="649" spans="1:28" ht="30" customHeight="1" x14ac:dyDescent="0.55000000000000004">
      <c r="A649" s="245" t="s">
        <v>1905</v>
      </c>
      <c r="B649" s="246" t="s">
        <v>1906</v>
      </c>
      <c r="C649" s="247">
        <v>0.23841200000000001</v>
      </c>
      <c r="D649" s="248">
        <f t="shared" si="18"/>
        <v>2.38412E-3</v>
      </c>
      <c r="E649" s="69">
        <f t="shared" ca="1" si="19"/>
        <v>9.5735471876336922E-2</v>
      </c>
      <c r="F649" s="249" t="s">
        <v>37</v>
      </c>
      <c r="G649" s="220"/>
      <c r="H649" s="220"/>
      <c r="I649" s="220"/>
      <c r="J649" s="251"/>
      <c r="K649" s="254"/>
      <c r="L649" s="220"/>
      <c r="M649" s="220"/>
      <c r="N649" s="220"/>
      <c r="O649" s="220"/>
      <c r="P649" s="220"/>
      <c r="Q649" s="220"/>
      <c r="S649" s="227"/>
      <c r="AB649" s="14" t="s">
        <v>1907</v>
      </c>
    </row>
    <row r="650" spans="1:28" ht="30" customHeight="1" x14ac:dyDescent="0.55000000000000004">
      <c r="A650" s="251" t="s">
        <v>1908</v>
      </c>
      <c r="B650" s="252" t="s">
        <v>1909</v>
      </c>
      <c r="C650" s="140">
        <v>0.25154506939999999</v>
      </c>
      <c r="D650" s="248">
        <f t="shared" si="18"/>
        <v>2.5154506940000001E-3</v>
      </c>
      <c r="E650" s="69">
        <f t="shared" ca="1" si="19"/>
        <v>7.5038106233741839E-2</v>
      </c>
      <c r="F650" s="249" t="s">
        <v>39</v>
      </c>
      <c r="G650" s="220"/>
      <c r="H650" s="220"/>
      <c r="I650" s="220"/>
      <c r="J650" s="251"/>
      <c r="K650" s="254"/>
      <c r="L650" s="220"/>
      <c r="M650" s="220"/>
      <c r="N650" s="220"/>
      <c r="O650" s="220"/>
      <c r="P650" s="220"/>
      <c r="Q650" s="220"/>
      <c r="S650" s="227"/>
      <c r="AB650" s="14" t="s">
        <v>1910</v>
      </c>
    </row>
    <row r="651" spans="1:28" ht="30" customHeight="1" x14ac:dyDescent="0.55000000000000004">
      <c r="A651" s="245" t="s">
        <v>1908</v>
      </c>
      <c r="B651" s="246" t="s">
        <v>1911</v>
      </c>
      <c r="C651" s="247">
        <v>0.11063000000000001</v>
      </c>
      <c r="D651" s="248">
        <f t="shared" si="18"/>
        <v>1.1063000000000002E-3</v>
      </c>
      <c r="E651" s="69">
        <f t="shared" ca="1" si="19"/>
        <v>4.4424002372695809E-2</v>
      </c>
      <c r="F651" s="249" t="s">
        <v>37</v>
      </c>
      <c r="G651" s="220"/>
      <c r="H651" s="220"/>
      <c r="I651" s="220"/>
      <c r="J651" s="251"/>
      <c r="K651" s="254"/>
      <c r="L651" s="220"/>
      <c r="M651" s="220"/>
      <c r="N651" s="220"/>
      <c r="O651" s="220"/>
      <c r="P651" s="220"/>
      <c r="Q651" s="220"/>
      <c r="S651" s="227"/>
      <c r="AB651" s="14" t="s">
        <v>1912</v>
      </c>
    </row>
    <row r="652" spans="1:28" ht="30" customHeight="1" x14ac:dyDescent="0.55000000000000004">
      <c r="A652" s="245" t="s">
        <v>1913</v>
      </c>
      <c r="B652" s="246" t="s">
        <v>1914</v>
      </c>
      <c r="C652" s="247">
        <v>1.6754999999999999E-2</v>
      </c>
      <c r="D652" s="248">
        <f t="shared" ref="D652:D715" si="20">C652/100</f>
        <v>1.6754999999999998E-4</v>
      </c>
      <c r="E652" s="69">
        <f t="shared" ref="E652:E715" ca="1" si="21">C652 * VLOOKUP(F652, $A$6:$B$8, 2, FALSE)</f>
        <v>6.7280498938309518E-3</v>
      </c>
      <c r="F652" s="249" t="s">
        <v>37</v>
      </c>
      <c r="G652" s="220"/>
      <c r="H652" s="220"/>
      <c r="I652" s="220"/>
      <c r="J652" s="251"/>
      <c r="K652" s="254"/>
      <c r="L652" s="220"/>
      <c r="M652" s="220"/>
      <c r="N652" s="220"/>
      <c r="O652" s="220"/>
      <c r="P652" s="220"/>
      <c r="Q652" s="220"/>
      <c r="S652" s="227"/>
      <c r="AB652" s="14" t="s">
        <v>1915</v>
      </c>
    </row>
    <row r="653" spans="1:28" ht="30" customHeight="1" x14ac:dyDescent="0.55000000000000004">
      <c r="A653" s="251" t="s">
        <v>1916</v>
      </c>
      <c r="B653" s="252" t="s">
        <v>1917</v>
      </c>
      <c r="C653" s="140">
        <v>2.1435901533999999</v>
      </c>
      <c r="D653" s="248">
        <f t="shared" si="20"/>
        <v>2.1435901534000001E-2</v>
      </c>
      <c r="E653" s="69">
        <f t="shared" ca="1" si="21"/>
        <v>0.64336954486518194</v>
      </c>
      <c r="F653" s="249" t="s">
        <v>38</v>
      </c>
      <c r="G653" s="220"/>
      <c r="H653" s="220"/>
      <c r="I653" s="220"/>
      <c r="J653" s="251"/>
      <c r="K653" s="254"/>
      <c r="L653" s="220"/>
      <c r="M653" s="220"/>
      <c r="N653" s="220"/>
      <c r="O653" s="220"/>
      <c r="P653" s="220"/>
      <c r="Q653" s="220"/>
      <c r="S653" s="227"/>
      <c r="AB653" s="14" t="s">
        <v>1918</v>
      </c>
    </row>
    <row r="654" spans="1:28" ht="30" customHeight="1" x14ac:dyDescent="0.55000000000000004">
      <c r="A654" s="245" t="s">
        <v>1916</v>
      </c>
      <c r="B654" s="246" t="s">
        <v>1919</v>
      </c>
      <c r="C654" s="247">
        <v>0.12956000000000001</v>
      </c>
      <c r="D654" s="248">
        <f t="shared" si="20"/>
        <v>1.2956000000000001E-3</v>
      </c>
      <c r="E654" s="69">
        <f t="shared" ca="1" si="21"/>
        <v>5.2025433855251463E-2</v>
      </c>
      <c r="F654" s="249" t="s">
        <v>37</v>
      </c>
      <c r="G654" s="220"/>
      <c r="H654" s="220"/>
      <c r="I654" s="220"/>
      <c r="J654" s="251"/>
      <c r="K654" s="254"/>
      <c r="L654" s="220"/>
      <c r="M654" s="220"/>
      <c r="N654" s="220"/>
      <c r="O654" s="220"/>
      <c r="P654" s="220"/>
      <c r="Q654" s="220"/>
      <c r="S654" s="227"/>
      <c r="AB654" s="14" t="s">
        <v>1920</v>
      </c>
    </row>
    <row r="655" spans="1:28" ht="30" customHeight="1" x14ac:dyDescent="0.55000000000000004">
      <c r="A655" s="251" t="s">
        <v>1921</v>
      </c>
      <c r="B655" s="252" t="s">
        <v>1922</v>
      </c>
      <c r="C655" s="140">
        <v>5.9334070699999998E-2</v>
      </c>
      <c r="D655" s="248">
        <f t="shared" si="20"/>
        <v>5.9334070700000003E-4</v>
      </c>
      <c r="E655" s="69">
        <f t="shared" ca="1" si="21"/>
        <v>1.7699875060508536E-2</v>
      </c>
      <c r="F655" s="249" t="s">
        <v>39</v>
      </c>
      <c r="G655" s="220"/>
      <c r="H655" s="220"/>
      <c r="I655" s="220"/>
      <c r="J655" s="251"/>
      <c r="K655" s="254"/>
      <c r="L655" s="220"/>
      <c r="M655" s="220"/>
      <c r="N655" s="220"/>
      <c r="O655" s="220"/>
      <c r="P655" s="220"/>
      <c r="Q655" s="220"/>
      <c r="S655" s="227"/>
      <c r="AB655" s="14" t="s">
        <v>1923</v>
      </c>
    </row>
    <row r="656" spans="1:28" ht="30" customHeight="1" x14ac:dyDescent="0.55000000000000004">
      <c r="A656" s="245" t="s">
        <v>1921</v>
      </c>
      <c r="B656" s="246" t="s">
        <v>1922</v>
      </c>
      <c r="C656" s="247">
        <v>2.5163999999999999E-2</v>
      </c>
      <c r="D656" s="248">
        <f t="shared" si="20"/>
        <v>2.5163999999999997E-4</v>
      </c>
      <c r="E656" s="69">
        <f t="shared" ca="1" si="21"/>
        <v>1.0104723815479682E-2</v>
      </c>
      <c r="F656" s="249" t="s">
        <v>37</v>
      </c>
      <c r="G656" s="220"/>
      <c r="H656" s="220"/>
      <c r="I656" s="220"/>
      <c r="J656" s="251"/>
      <c r="K656" s="254"/>
      <c r="L656" s="220"/>
      <c r="M656" s="220"/>
      <c r="N656" s="220"/>
      <c r="O656" s="220"/>
      <c r="P656" s="220"/>
      <c r="Q656" s="220"/>
      <c r="S656" s="227"/>
      <c r="AB656" s="14" t="s">
        <v>1924</v>
      </c>
    </row>
    <row r="657" spans="1:28" ht="30" customHeight="1" x14ac:dyDescent="0.55000000000000004">
      <c r="A657" s="251" t="s">
        <v>1925</v>
      </c>
      <c r="B657" s="252" t="s">
        <v>1926</v>
      </c>
      <c r="C657" s="140">
        <v>0.48901650720000001</v>
      </c>
      <c r="D657" s="248">
        <f t="shared" si="20"/>
        <v>4.8901650719999998E-3</v>
      </c>
      <c r="E657" s="69">
        <f t="shared" ca="1" si="21"/>
        <v>0.14677167982405651</v>
      </c>
      <c r="F657" s="249" t="s">
        <v>38</v>
      </c>
      <c r="G657" s="220"/>
      <c r="H657" s="220"/>
      <c r="I657" s="220"/>
      <c r="J657" s="251"/>
      <c r="K657" s="254"/>
      <c r="L657" s="220"/>
      <c r="M657" s="220"/>
      <c r="N657" s="220"/>
      <c r="O657" s="220"/>
      <c r="P657" s="220"/>
      <c r="Q657" s="220"/>
      <c r="S657" s="227"/>
      <c r="AB657" s="14" t="s">
        <v>1927</v>
      </c>
    </row>
    <row r="658" spans="1:28" ht="30" customHeight="1" x14ac:dyDescent="0.55000000000000004">
      <c r="A658" s="245" t="s">
        <v>1925</v>
      </c>
      <c r="B658" s="246" t="s">
        <v>1926</v>
      </c>
      <c r="C658" s="247">
        <v>3.0143E-2</v>
      </c>
      <c r="D658" s="248">
        <f t="shared" si="20"/>
        <v>3.0142999999999999E-4</v>
      </c>
      <c r="E658" s="69">
        <f t="shared" ca="1" si="21"/>
        <v>1.2104064932840728E-2</v>
      </c>
      <c r="F658" s="249" t="s">
        <v>37</v>
      </c>
      <c r="G658" s="220"/>
      <c r="H658" s="220"/>
      <c r="I658" s="220"/>
      <c r="J658" s="251"/>
      <c r="K658" s="254"/>
      <c r="L658" s="220"/>
      <c r="M658" s="220"/>
      <c r="N658" s="220"/>
      <c r="O658" s="220"/>
      <c r="P658" s="220"/>
      <c r="Q658" s="220"/>
      <c r="S658" s="227"/>
      <c r="AB658" s="14" t="s">
        <v>1928</v>
      </c>
    </row>
    <row r="659" spans="1:28" ht="30" customHeight="1" x14ac:dyDescent="0.55000000000000004">
      <c r="A659" s="245" t="s">
        <v>1929</v>
      </c>
      <c r="B659" s="246" t="s">
        <v>1930</v>
      </c>
      <c r="C659" s="247">
        <v>0.33455499999999999</v>
      </c>
      <c r="D659" s="248">
        <f t="shared" si="20"/>
        <v>3.3455500000000001E-3</v>
      </c>
      <c r="E659" s="69">
        <f t="shared" ca="1" si="21"/>
        <v>0.13434215053599607</v>
      </c>
      <c r="F659" s="249" t="s">
        <v>37</v>
      </c>
      <c r="G659" s="220"/>
      <c r="H659" s="220"/>
      <c r="I659" s="220"/>
      <c r="J659" s="251"/>
      <c r="K659" s="254"/>
      <c r="L659" s="220"/>
      <c r="M659" s="220"/>
      <c r="N659" s="220"/>
      <c r="O659" s="220"/>
      <c r="P659" s="220"/>
      <c r="Q659" s="220"/>
      <c r="S659" s="227"/>
      <c r="AB659" s="14" t="s">
        <v>1931</v>
      </c>
    </row>
    <row r="660" spans="1:28" ht="30" customHeight="1" x14ac:dyDescent="0.55000000000000004">
      <c r="A660" s="251" t="s">
        <v>1932</v>
      </c>
      <c r="B660" s="252" t="s">
        <v>1933</v>
      </c>
      <c r="C660" s="140">
        <v>0.1827253653</v>
      </c>
      <c r="D660" s="248">
        <f t="shared" si="20"/>
        <v>1.827253653E-3</v>
      </c>
      <c r="E660" s="69">
        <f t="shared" ca="1" si="21"/>
        <v>5.4508583315450526E-2</v>
      </c>
      <c r="F660" s="249" t="s">
        <v>39</v>
      </c>
      <c r="G660" s="220"/>
      <c r="H660" s="220"/>
      <c r="I660" s="220"/>
      <c r="J660" s="251"/>
      <c r="K660" s="254"/>
      <c r="L660" s="220"/>
      <c r="M660" s="220"/>
      <c r="N660" s="220"/>
      <c r="O660" s="220"/>
      <c r="P660" s="220"/>
      <c r="Q660" s="220"/>
      <c r="S660" s="227"/>
      <c r="AB660" s="14" t="s">
        <v>1934</v>
      </c>
    </row>
    <row r="661" spans="1:28" ht="30" customHeight="1" x14ac:dyDescent="0.55000000000000004">
      <c r="A661" s="251" t="s">
        <v>1935</v>
      </c>
      <c r="B661" s="252" t="s">
        <v>1936</v>
      </c>
      <c r="C661" s="140">
        <v>0.34519295500000002</v>
      </c>
      <c r="D661" s="248">
        <f t="shared" si="20"/>
        <v>3.4519295500000003E-3</v>
      </c>
      <c r="E661" s="69">
        <f t="shared" ca="1" si="21"/>
        <v>0.10297409402702157</v>
      </c>
      <c r="F661" s="249" t="s">
        <v>39</v>
      </c>
      <c r="G661" s="220"/>
      <c r="H661" s="220"/>
      <c r="I661" s="220"/>
      <c r="J661" s="251"/>
      <c r="K661" s="254"/>
      <c r="L661" s="220"/>
      <c r="M661" s="220"/>
      <c r="N661" s="220"/>
      <c r="O661" s="220"/>
      <c r="P661" s="220"/>
      <c r="Q661" s="220"/>
      <c r="S661" s="227"/>
      <c r="AB661" s="14" t="s">
        <v>1937</v>
      </c>
    </row>
    <row r="662" spans="1:28" ht="30" customHeight="1" x14ac:dyDescent="0.55000000000000004">
      <c r="A662" s="245" t="s">
        <v>1935</v>
      </c>
      <c r="B662" s="246" t="s">
        <v>1936</v>
      </c>
      <c r="C662" s="247">
        <v>0.152532</v>
      </c>
      <c r="D662" s="248">
        <f t="shared" si="20"/>
        <v>1.5253199999999999E-3</v>
      </c>
      <c r="E662" s="69">
        <f t="shared" ca="1" si="21"/>
        <v>6.1249949651198017E-2</v>
      </c>
      <c r="F662" s="249" t="s">
        <v>37</v>
      </c>
      <c r="G662" s="220"/>
      <c r="H662" s="220"/>
      <c r="I662" s="220"/>
      <c r="J662" s="251"/>
      <c r="K662" s="254"/>
      <c r="L662" s="220"/>
      <c r="M662" s="220"/>
      <c r="N662" s="220"/>
      <c r="O662" s="220"/>
      <c r="P662" s="220"/>
      <c r="Q662" s="220"/>
      <c r="S662" s="227"/>
      <c r="AB662" s="14" t="s">
        <v>1938</v>
      </c>
    </row>
    <row r="663" spans="1:28" ht="30" customHeight="1" x14ac:dyDescent="0.55000000000000004">
      <c r="A663" s="245" t="s">
        <v>1939</v>
      </c>
      <c r="B663" s="246" t="s">
        <v>1940</v>
      </c>
      <c r="C663" s="247">
        <v>0.16055700000000001</v>
      </c>
      <c r="D663" s="248">
        <f t="shared" si="20"/>
        <v>1.60557E-3</v>
      </c>
      <c r="E663" s="69">
        <f t="shared" ca="1" si="21"/>
        <v>6.4472426547527079E-2</v>
      </c>
      <c r="F663" s="249" t="s">
        <v>37</v>
      </c>
      <c r="G663" s="220"/>
      <c r="H663" s="220"/>
      <c r="I663" s="220"/>
      <c r="J663" s="251"/>
      <c r="K663" s="254"/>
      <c r="L663" s="220"/>
      <c r="M663" s="220"/>
      <c r="N663" s="220"/>
      <c r="O663" s="220"/>
      <c r="P663" s="220"/>
      <c r="Q663" s="220"/>
      <c r="S663" s="227"/>
      <c r="AB663" s="14" t="s">
        <v>1941</v>
      </c>
    </row>
    <row r="664" spans="1:28" ht="30" customHeight="1" x14ac:dyDescent="0.55000000000000004">
      <c r="A664" s="251" t="s">
        <v>1942</v>
      </c>
      <c r="B664" s="252" t="s">
        <v>1943</v>
      </c>
      <c r="C664" s="140">
        <v>7.1819842800000006E-2</v>
      </c>
      <c r="D664" s="248">
        <f t="shared" si="20"/>
        <v>7.181984280000001E-4</v>
      </c>
      <c r="E664" s="69">
        <f t="shared" ca="1" si="21"/>
        <v>2.1424490675057688E-2</v>
      </c>
      <c r="F664" s="249" t="s">
        <v>39</v>
      </c>
      <c r="G664" s="220"/>
      <c r="H664" s="220"/>
      <c r="I664" s="220"/>
      <c r="J664" s="251"/>
      <c r="K664" s="254"/>
      <c r="L664" s="220"/>
      <c r="M664" s="220"/>
      <c r="N664" s="220"/>
      <c r="O664" s="220"/>
      <c r="P664" s="220"/>
      <c r="Q664" s="220"/>
      <c r="S664" s="227"/>
      <c r="AB664" s="14" t="s">
        <v>1944</v>
      </c>
    </row>
    <row r="665" spans="1:28" ht="30" customHeight="1" x14ac:dyDescent="0.55000000000000004">
      <c r="A665" s="245" t="s">
        <v>1945</v>
      </c>
      <c r="B665" s="246" t="s">
        <v>1946</v>
      </c>
      <c r="C665" s="247">
        <v>1.7122999999999999E-2</v>
      </c>
      <c r="D665" s="248">
        <f t="shared" si="20"/>
        <v>1.7123E-4</v>
      </c>
      <c r="E665" s="69">
        <f t="shared" ca="1" si="21"/>
        <v>6.8758220430956366E-3</v>
      </c>
      <c r="F665" s="249" t="s">
        <v>37</v>
      </c>
      <c r="G665" s="220"/>
      <c r="H665" s="220"/>
      <c r="I665" s="220"/>
      <c r="J665" s="251"/>
      <c r="K665" s="254"/>
      <c r="L665" s="220"/>
      <c r="M665" s="220"/>
      <c r="N665" s="220"/>
      <c r="O665" s="220"/>
      <c r="P665" s="220"/>
      <c r="Q665" s="220"/>
      <c r="S665" s="227"/>
      <c r="AB665" s="14" t="s">
        <v>1947</v>
      </c>
    </row>
    <row r="666" spans="1:28" ht="30" customHeight="1" x14ac:dyDescent="0.55000000000000004">
      <c r="A666" s="245" t="s">
        <v>1948</v>
      </c>
      <c r="B666" s="246" t="s">
        <v>1949</v>
      </c>
      <c r="C666" s="247">
        <v>0.10213800000000001</v>
      </c>
      <c r="D666" s="248">
        <f t="shared" si="20"/>
        <v>1.0213800000000001E-3</v>
      </c>
      <c r="E666" s="69">
        <f t="shared" ca="1" si="21"/>
        <v>4.101399940651184E-2</v>
      </c>
      <c r="F666" s="249" t="s">
        <v>37</v>
      </c>
      <c r="G666" s="220"/>
      <c r="H666" s="220"/>
      <c r="I666" s="220"/>
      <c r="J666" s="251"/>
      <c r="K666" s="254"/>
      <c r="L666" s="220"/>
      <c r="M666" s="220"/>
      <c r="N666" s="220"/>
      <c r="O666" s="220"/>
      <c r="P666" s="220"/>
      <c r="Q666" s="220"/>
      <c r="S666" s="227"/>
      <c r="AB666" s="14" t="s">
        <v>1950</v>
      </c>
    </row>
    <row r="667" spans="1:28" ht="30" customHeight="1" x14ac:dyDescent="0.55000000000000004">
      <c r="A667" s="251" t="s">
        <v>1951</v>
      </c>
      <c r="B667" s="252" t="s">
        <v>1952</v>
      </c>
      <c r="C667" s="140">
        <v>0.43565876580000001</v>
      </c>
      <c r="D667" s="248">
        <f t="shared" si="20"/>
        <v>4.3565876580000003E-3</v>
      </c>
      <c r="E667" s="69">
        <f t="shared" ca="1" si="21"/>
        <v>0.1299608409249991</v>
      </c>
      <c r="F667" s="249" t="s">
        <v>39</v>
      </c>
      <c r="G667" s="220"/>
      <c r="H667" s="220"/>
      <c r="I667" s="220"/>
      <c r="J667" s="251"/>
      <c r="K667" s="254"/>
      <c r="L667" s="220"/>
      <c r="M667" s="220"/>
      <c r="N667" s="220"/>
      <c r="O667" s="220"/>
      <c r="P667" s="220"/>
      <c r="Q667" s="220"/>
      <c r="S667" s="227"/>
      <c r="AB667" s="14" t="s">
        <v>1953</v>
      </c>
    </row>
    <row r="668" spans="1:28" ht="30" customHeight="1" x14ac:dyDescent="0.55000000000000004">
      <c r="A668" s="245" t="s">
        <v>1951</v>
      </c>
      <c r="B668" s="246" t="s">
        <v>1954</v>
      </c>
      <c r="C668" s="247">
        <v>0.19472500000000001</v>
      </c>
      <c r="D668" s="248">
        <f t="shared" si="20"/>
        <v>1.9472500000000002E-3</v>
      </c>
      <c r="E668" s="69">
        <f t="shared" ca="1" si="21"/>
        <v>7.8192749362950301E-2</v>
      </c>
      <c r="F668" s="249" t="s">
        <v>37</v>
      </c>
      <c r="G668" s="220"/>
      <c r="H668" s="220"/>
      <c r="I668" s="220"/>
      <c r="J668" s="251"/>
      <c r="K668" s="254"/>
      <c r="L668" s="220"/>
      <c r="M668" s="220"/>
      <c r="N668" s="220"/>
      <c r="O668" s="220"/>
      <c r="P668" s="220"/>
      <c r="Q668" s="220"/>
      <c r="S668" s="227"/>
      <c r="AB668" s="14" t="s">
        <v>1955</v>
      </c>
    </row>
    <row r="669" spans="1:28" ht="30" customHeight="1" x14ac:dyDescent="0.55000000000000004">
      <c r="A669" s="251" t="s">
        <v>1956</v>
      </c>
      <c r="B669" s="252" t="s">
        <v>1957</v>
      </c>
      <c r="C669" s="140">
        <v>3.3651041700000002E-2</v>
      </c>
      <c r="D669" s="248">
        <f t="shared" si="20"/>
        <v>3.36510417E-4</v>
      </c>
      <c r="E669" s="69">
        <f t="shared" ca="1" si="21"/>
        <v>1.0099904288340095E-2</v>
      </c>
      <c r="F669" s="249" t="s">
        <v>38</v>
      </c>
      <c r="G669" s="220"/>
      <c r="H669" s="220"/>
      <c r="I669" s="220"/>
      <c r="J669" s="251"/>
      <c r="K669" s="254"/>
      <c r="L669" s="220"/>
      <c r="M669" s="220"/>
      <c r="N669" s="220"/>
      <c r="O669" s="220"/>
      <c r="P669" s="220"/>
      <c r="Q669" s="220"/>
      <c r="S669" s="227"/>
      <c r="AB669" s="14" t="s">
        <v>1958</v>
      </c>
    </row>
    <row r="670" spans="1:28" ht="30" customHeight="1" x14ac:dyDescent="0.55000000000000004">
      <c r="A670" s="245" t="s">
        <v>1959</v>
      </c>
      <c r="B670" s="246" t="s">
        <v>1960</v>
      </c>
      <c r="C670" s="247">
        <v>9.3672000000000005E-2</v>
      </c>
      <c r="D670" s="248">
        <f t="shared" si="20"/>
        <v>9.3672000000000004E-4</v>
      </c>
      <c r="E670" s="69">
        <f t="shared" ca="1" si="21"/>
        <v>3.7614436863917217E-2</v>
      </c>
      <c r="F670" s="249" t="s">
        <v>37</v>
      </c>
      <c r="G670" s="220"/>
      <c r="H670" s="220"/>
      <c r="I670" s="220"/>
      <c r="J670" s="251"/>
      <c r="K670" s="254"/>
      <c r="L670" s="220"/>
      <c r="M670" s="220"/>
      <c r="N670" s="220"/>
      <c r="O670" s="220"/>
      <c r="P670" s="220"/>
      <c r="Q670" s="220"/>
      <c r="S670" s="227"/>
      <c r="AB670" s="14" t="s">
        <v>1961</v>
      </c>
    </row>
    <row r="671" spans="1:28" ht="30" customHeight="1" x14ac:dyDescent="0.55000000000000004">
      <c r="A671" s="251" t="s">
        <v>1962</v>
      </c>
      <c r="B671" s="252" t="s">
        <v>1963</v>
      </c>
      <c r="C671" s="140">
        <v>4.2101323900000001E-2</v>
      </c>
      <c r="D671" s="248">
        <f t="shared" si="20"/>
        <v>4.21013239E-4</v>
      </c>
      <c r="E671" s="69">
        <f t="shared" ca="1" si="21"/>
        <v>1.2636142012875794E-2</v>
      </c>
      <c r="F671" s="249" t="s">
        <v>38</v>
      </c>
      <c r="G671" s="220"/>
      <c r="H671" s="220"/>
      <c r="I671" s="220"/>
      <c r="J671" s="251"/>
      <c r="K671" s="254"/>
      <c r="L671" s="220"/>
      <c r="M671" s="220"/>
      <c r="N671" s="220"/>
      <c r="O671" s="220"/>
      <c r="P671" s="220"/>
      <c r="Q671" s="220"/>
      <c r="S671" s="227"/>
      <c r="AB671" s="14" t="s">
        <v>1964</v>
      </c>
    </row>
    <row r="672" spans="1:28" ht="30" customHeight="1" x14ac:dyDescent="0.55000000000000004">
      <c r="A672" s="245" t="s">
        <v>1965</v>
      </c>
      <c r="B672" s="246" t="s">
        <v>1966</v>
      </c>
      <c r="C672" s="247">
        <v>3.2523999999999997E-2</v>
      </c>
      <c r="D672" s="248">
        <f t="shared" si="20"/>
        <v>3.2523999999999997E-4</v>
      </c>
      <c r="E672" s="69">
        <f t="shared" ca="1" si="21"/>
        <v>1.3060166800773373E-2</v>
      </c>
      <c r="F672" s="249" t="s">
        <v>37</v>
      </c>
      <c r="G672" s="220"/>
      <c r="H672" s="220"/>
      <c r="I672" s="220"/>
      <c r="J672" s="251"/>
      <c r="K672" s="254"/>
      <c r="L672" s="220"/>
      <c r="M672" s="220"/>
      <c r="N672" s="220"/>
      <c r="O672" s="220"/>
      <c r="P672" s="220"/>
      <c r="Q672" s="220"/>
      <c r="S672" s="227"/>
      <c r="AB672" s="14" t="s">
        <v>1967</v>
      </c>
    </row>
    <row r="673" spans="1:28" ht="30" customHeight="1" x14ac:dyDescent="0.55000000000000004">
      <c r="A673" s="245" t="s">
        <v>1968</v>
      </c>
      <c r="B673" s="246" t="s">
        <v>1969</v>
      </c>
      <c r="C673" s="247">
        <v>5.0974999999999999E-2</v>
      </c>
      <c r="D673" s="248">
        <f t="shared" si="20"/>
        <v>5.0975E-4</v>
      </c>
      <c r="E673" s="69">
        <f t="shared" ca="1" si="21"/>
        <v>2.0469253556432872E-2</v>
      </c>
      <c r="F673" s="249" t="s">
        <v>37</v>
      </c>
      <c r="G673" s="220"/>
      <c r="H673" s="220"/>
      <c r="I673" s="220"/>
      <c r="J673" s="251"/>
      <c r="K673" s="254"/>
      <c r="L673" s="220"/>
      <c r="M673" s="220"/>
      <c r="N673" s="220"/>
      <c r="O673" s="220"/>
      <c r="P673" s="220"/>
      <c r="Q673" s="220"/>
      <c r="S673" s="227"/>
      <c r="AB673" s="14" t="s">
        <v>1970</v>
      </c>
    </row>
    <row r="674" spans="1:28" ht="30" customHeight="1" x14ac:dyDescent="0.55000000000000004">
      <c r="A674" s="245" t="s">
        <v>1971</v>
      </c>
      <c r="B674" s="246" t="s">
        <v>1972</v>
      </c>
      <c r="C674" s="247">
        <v>6.6219E-2</v>
      </c>
      <c r="D674" s="248">
        <f t="shared" si="20"/>
        <v>6.6219E-4</v>
      </c>
      <c r="E674" s="69">
        <f t="shared" ca="1" si="21"/>
        <v>2.6590554217821059E-2</v>
      </c>
      <c r="F674" s="249" t="s">
        <v>37</v>
      </c>
      <c r="G674" s="220"/>
      <c r="H674" s="220"/>
      <c r="I674" s="220"/>
      <c r="J674" s="251"/>
      <c r="K674" s="254"/>
      <c r="L674" s="220"/>
      <c r="M674" s="220"/>
      <c r="N674" s="220"/>
      <c r="O674" s="220"/>
      <c r="P674" s="220"/>
      <c r="Q674" s="220"/>
      <c r="S674" s="227"/>
      <c r="AB674" s="14" t="s">
        <v>1973</v>
      </c>
    </row>
    <row r="675" spans="1:28" ht="30" customHeight="1" x14ac:dyDescent="0.55000000000000004">
      <c r="A675" s="245" t="s">
        <v>1974</v>
      </c>
      <c r="B675" s="246" t="s">
        <v>1975</v>
      </c>
      <c r="C675" s="247">
        <v>0.279057</v>
      </c>
      <c r="D675" s="248">
        <f t="shared" si="20"/>
        <v>2.79057E-3</v>
      </c>
      <c r="E675" s="69">
        <f t="shared" ca="1" si="21"/>
        <v>0.11205666482976927</v>
      </c>
      <c r="F675" s="249" t="s">
        <v>37</v>
      </c>
      <c r="G675" s="220"/>
      <c r="H675" s="220"/>
      <c r="I675" s="220"/>
      <c r="J675" s="251"/>
      <c r="K675" s="254"/>
      <c r="L675" s="220"/>
      <c r="M675" s="220"/>
      <c r="N675" s="220"/>
      <c r="O675" s="220"/>
      <c r="P675" s="220"/>
      <c r="Q675" s="220"/>
      <c r="S675" s="227"/>
      <c r="AB675" s="14" t="s">
        <v>1976</v>
      </c>
    </row>
    <row r="676" spans="1:28" ht="30" customHeight="1" x14ac:dyDescent="0.55000000000000004">
      <c r="A676" s="251" t="s">
        <v>1977</v>
      </c>
      <c r="B676" s="252" t="s">
        <v>1978</v>
      </c>
      <c r="C676" s="140">
        <v>6.8948904000000005E-2</v>
      </c>
      <c r="D676" s="248">
        <f t="shared" si="20"/>
        <v>6.8948904E-4</v>
      </c>
      <c r="E676" s="69">
        <f t="shared" ca="1" si="21"/>
        <v>2.0568064384616665E-2</v>
      </c>
      <c r="F676" s="249" t="s">
        <v>39</v>
      </c>
      <c r="G676" s="220"/>
      <c r="H676" s="220"/>
      <c r="I676" s="220"/>
      <c r="J676" s="251"/>
      <c r="K676" s="254"/>
      <c r="L676" s="220"/>
      <c r="M676" s="220"/>
      <c r="N676" s="220"/>
      <c r="O676" s="220"/>
      <c r="P676" s="220"/>
      <c r="Q676" s="220"/>
      <c r="S676" s="227"/>
      <c r="AB676" s="14" t="s">
        <v>1979</v>
      </c>
    </row>
    <row r="677" spans="1:28" ht="30" customHeight="1" x14ac:dyDescent="0.55000000000000004">
      <c r="A677" s="245" t="s">
        <v>1977</v>
      </c>
      <c r="B677" s="246" t="s">
        <v>1980</v>
      </c>
      <c r="C677" s="247">
        <v>3.0995000000000002E-2</v>
      </c>
      <c r="D677" s="248">
        <f t="shared" si="20"/>
        <v>3.0995000000000003E-4</v>
      </c>
      <c r="E677" s="69">
        <f t="shared" ca="1" si="21"/>
        <v>1.2446189582768748E-2</v>
      </c>
      <c r="F677" s="249" t="s">
        <v>37</v>
      </c>
      <c r="G677" s="220"/>
      <c r="H677" s="220"/>
      <c r="I677" s="220"/>
      <c r="J677" s="251"/>
      <c r="K677" s="254"/>
      <c r="L677" s="220"/>
      <c r="M677" s="220"/>
      <c r="N677" s="220"/>
      <c r="O677" s="220"/>
      <c r="P677" s="220"/>
      <c r="Q677" s="220"/>
      <c r="S677" s="227"/>
      <c r="AB677" s="14" t="s">
        <v>1981</v>
      </c>
    </row>
    <row r="678" spans="1:28" ht="30" customHeight="1" x14ac:dyDescent="0.55000000000000004">
      <c r="A678" s="251" t="s">
        <v>1982</v>
      </c>
      <c r="B678" s="252" t="s">
        <v>1983</v>
      </c>
      <c r="C678" s="140">
        <v>4.9241291999999999E-2</v>
      </c>
      <c r="D678" s="248">
        <f t="shared" si="20"/>
        <v>4.9241292000000002E-4</v>
      </c>
      <c r="E678" s="69">
        <f t="shared" ca="1" si="21"/>
        <v>1.4689110420634236E-2</v>
      </c>
      <c r="F678" s="249" t="s">
        <v>39</v>
      </c>
      <c r="G678" s="220"/>
      <c r="H678" s="220"/>
      <c r="I678" s="220"/>
      <c r="J678" s="251"/>
      <c r="K678" s="254"/>
      <c r="L678" s="220"/>
      <c r="M678" s="220"/>
      <c r="N678" s="220"/>
      <c r="O678" s="220"/>
      <c r="P678" s="220"/>
      <c r="Q678" s="220"/>
      <c r="S678" s="227"/>
      <c r="AB678" s="14" t="s">
        <v>1984</v>
      </c>
    </row>
    <row r="679" spans="1:28" ht="30" customHeight="1" x14ac:dyDescent="0.55000000000000004">
      <c r="A679" s="245" t="s">
        <v>1985</v>
      </c>
      <c r="B679" s="246" t="s">
        <v>1986</v>
      </c>
      <c r="C679" s="247">
        <v>3.3147999999999997E-2</v>
      </c>
      <c r="D679" s="248">
        <f t="shared" si="20"/>
        <v>3.3147999999999999E-4</v>
      </c>
      <c r="E679" s="69">
        <f t="shared" ca="1" si="21"/>
        <v>1.3310736966917839E-2</v>
      </c>
      <c r="F679" s="249" t="s">
        <v>37</v>
      </c>
      <c r="G679" s="220"/>
      <c r="H679" s="220"/>
      <c r="I679" s="220"/>
      <c r="J679" s="251"/>
      <c r="K679" s="254"/>
      <c r="L679" s="220"/>
      <c r="M679" s="220"/>
      <c r="N679" s="220"/>
      <c r="O679" s="220"/>
      <c r="P679" s="220"/>
      <c r="Q679" s="220"/>
      <c r="S679" s="227"/>
      <c r="AB679" s="14" t="s">
        <v>1987</v>
      </c>
    </row>
    <row r="680" spans="1:28" ht="30" customHeight="1" x14ac:dyDescent="0.55000000000000004">
      <c r="A680" s="245" t="s">
        <v>1988</v>
      </c>
      <c r="B680" s="246" t="s">
        <v>1989</v>
      </c>
      <c r="C680" s="247">
        <v>1.8886E-2</v>
      </c>
      <c r="D680" s="248">
        <f t="shared" si="20"/>
        <v>1.8886E-4</v>
      </c>
      <c r="E680" s="69">
        <f t="shared" ca="1" si="21"/>
        <v>7.5837630734044382E-3</v>
      </c>
      <c r="F680" s="249" t="s">
        <v>37</v>
      </c>
      <c r="G680" s="220"/>
      <c r="H680" s="220"/>
      <c r="I680" s="220"/>
      <c r="J680" s="251"/>
      <c r="K680" s="254"/>
      <c r="L680" s="220"/>
      <c r="M680" s="220"/>
      <c r="N680" s="220"/>
      <c r="O680" s="220"/>
      <c r="P680" s="220"/>
      <c r="Q680" s="220"/>
      <c r="S680" s="227"/>
      <c r="AB680" s="14" t="s">
        <v>1990</v>
      </c>
    </row>
    <row r="681" spans="1:28" ht="30" customHeight="1" x14ac:dyDescent="0.55000000000000004">
      <c r="A681" s="251" t="s">
        <v>1991</v>
      </c>
      <c r="B681" s="252" t="s">
        <v>1992</v>
      </c>
      <c r="C681" s="140">
        <v>0.25919289950000002</v>
      </c>
      <c r="D681" s="248">
        <f t="shared" si="20"/>
        <v>2.5919289950000002E-3</v>
      </c>
      <c r="E681" s="69">
        <f t="shared" ca="1" si="21"/>
        <v>7.7793237442850188E-2</v>
      </c>
      <c r="F681" s="249" t="s">
        <v>38</v>
      </c>
      <c r="G681" s="220"/>
      <c r="H681" s="220"/>
      <c r="I681" s="220"/>
      <c r="J681" s="251"/>
      <c r="K681" s="254"/>
      <c r="L681" s="220"/>
      <c r="M681" s="220"/>
      <c r="N681" s="220"/>
      <c r="O681" s="220"/>
      <c r="P681" s="220"/>
      <c r="Q681" s="220"/>
      <c r="S681" s="227"/>
      <c r="AB681" s="14" t="s">
        <v>1993</v>
      </c>
    </row>
    <row r="682" spans="1:28" ht="30" customHeight="1" x14ac:dyDescent="0.55000000000000004">
      <c r="A682" s="245" t="s">
        <v>1991</v>
      </c>
      <c r="B682" s="246" t="s">
        <v>1992</v>
      </c>
      <c r="C682" s="247">
        <v>1.5989E-2</v>
      </c>
      <c r="D682" s="248">
        <f t="shared" si="20"/>
        <v>1.5988999999999999E-4</v>
      </c>
      <c r="E682" s="69">
        <f t="shared" ca="1" si="21"/>
        <v>6.4204589526984839E-3</v>
      </c>
      <c r="F682" s="249" t="s">
        <v>37</v>
      </c>
      <c r="G682" s="220"/>
      <c r="H682" s="220"/>
      <c r="I682" s="220"/>
      <c r="J682" s="251"/>
      <c r="K682" s="254"/>
      <c r="L682" s="220"/>
      <c r="M682" s="220"/>
      <c r="N682" s="220"/>
      <c r="O682" s="220"/>
      <c r="P682" s="220"/>
      <c r="Q682" s="220"/>
      <c r="S682" s="227"/>
      <c r="AB682" s="14" t="s">
        <v>1994</v>
      </c>
    </row>
    <row r="683" spans="1:28" ht="30" customHeight="1" x14ac:dyDescent="0.55000000000000004">
      <c r="A683" s="245" t="s">
        <v>1995</v>
      </c>
      <c r="B683" s="246" t="s">
        <v>1996</v>
      </c>
      <c r="C683" s="247">
        <v>3.7991999999999998E-2</v>
      </c>
      <c r="D683" s="248">
        <f t="shared" si="20"/>
        <v>3.7991999999999995E-4</v>
      </c>
      <c r="E683" s="69">
        <f t="shared" ca="1" si="21"/>
        <v>1.5255868192564937E-2</v>
      </c>
      <c r="F683" s="249" t="s">
        <v>37</v>
      </c>
      <c r="G683" s="220"/>
      <c r="H683" s="220"/>
      <c r="I683" s="220"/>
      <c r="J683" s="251"/>
      <c r="K683" s="254"/>
      <c r="L683" s="220"/>
      <c r="M683" s="220"/>
      <c r="N683" s="220"/>
      <c r="O683" s="220"/>
      <c r="P683" s="220"/>
      <c r="Q683" s="220"/>
      <c r="S683" s="227"/>
      <c r="AB683" s="14" t="s">
        <v>1997</v>
      </c>
    </row>
    <row r="684" spans="1:28" ht="30" customHeight="1" x14ac:dyDescent="0.55000000000000004">
      <c r="A684" s="245" t="s">
        <v>1998</v>
      </c>
      <c r="B684" s="246" t="s">
        <v>1999</v>
      </c>
      <c r="C684" s="247">
        <v>0.163106</v>
      </c>
      <c r="D684" s="248">
        <f t="shared" si="20"/>
        <v>1.6310599999999999E-3</v>
      </c>
      <c r="E684" s="69">
        <f t="shared" ca="1" si="21"/>
        <v>6.5495989614037076E-2</v>
      </c>
      <c r="F684" s="249" t="s">
        <v>37</v>
      </c>
      <c r="G684" s="220"/>
      <c r="H684" s="220"/>
      <c r="I684" s="220"/>
      <c r="J684" s="251"/>
      <c r="K684" s="254"/>
      <c r="L684" s="220"/>
      <c r="M684" s="220"/>
      <c r="N684" s="220"/>
      <c r="O684" s="220"/>
      <c r="P684" s="220"/>
      <c r="Q684" s="220"/>
      <c r="S684" s="227"/>
      <c r="AB684" s="14" t="s">
        <v>2000</v>
      </c>
    </row>
    <row r="685" spans="1:28" ht="30" customHeight="1" x14ac:dyDescent="0.55000000000000004">
      <c r="A685" s="245" t="s">
        <v>2001</v>
      </c>
      <c r="B685" s="246" t="s">
        <v>2002</v>
      </c>
      <c r="C685" s="247">
        <v>5.4869000000000001E-2</v>
      </c>
      <c r="D685" s="248">
        <f t="shared" si="20"/>
        <v>5.4869000000000001E-4</v>
      </c>
      <c r="E685" s="69">
        <f t="shared" ca="1" si="21"/>
        <v>2.2032907766315162E-2</v>
      </c>
      <c r="F685" s="249" t="s">
        <v>37</v>
      </c>
      <c r="G685" s="220"/>
      <c r="H685" s="220"/>
      <c r="I685" s="220"/>
      <c r="J685" s="251"/>
      <c r="K685" s="254"/>
      <c r="L685" s="220"/>
      <c r="M685" s="220"/>
      <c r="N685" s="220"/>
      <c r="O685" s="220"/>
      <c r="P685" s="220"/>
      <c r="Q685" s="220"/>
      <c r="S685" s="227"/>
      <c r="AB685" s="14" t="s">
        <v>2003</v>
      </c>
    </row>
    <row r="686" spans="1:28" ht="30" customHeight="1" x14ac:dyDescent="0.55000000000000004">
      <c r="A686" s="245" t="s">
        <v>2004</v>
      </c>
      <c r="B686" s="246" t="s">
        <v>2005</v>
      </c>
      <c r="C686" s="247">
        <v>0.27116600000000002</v>
      </c>
      <c r="D686" s="248">
        <f t="shared" si="20"/>
        <v>2.7116600000000003E-3</v>
      </c>
      <c r="E686" s="69">
        <f t="shared" ca="1" si="21"/>
        <v>0.10888799627040073</v>
      </c>
      <c r="F686" s="249" t="s">
        <v>37</v>
      </c>
      <c r="G686" s="220"/>
      <c r="H686" s="220"/>
      <c r="I686" s="220"/>
      <c r="J686" s="251"/>
      <c r="K686" s="254"/>
      <c r="L686" s="220"/>
      <c r="M686" s="220"/>
      <c r="N686" s="220"/>
      <c r="O686" s="220"/>
      <c r="P686" s="220"/>
      <c r="Q686" s="220"/>
      <c r="S686" s="227"/>
      <c r="AB686" s="14" t="s">
        <v>2006</v>
      </c>
    </row>
    <row r="687" spans="1:28" ht="30" customHeight="1" x14ac:dyDescent="0.55000000000000004">
      <c r="A687" s="245" t="s">
        <v>2007</v>
      </c>
      <c r="B687" s="246" t="s">
        <v>2008</v>
      </c>
      <c r="C687" s="247">
        <v>1.1044E-2</v>
      </c>
      <c r="D687" s="248">
        <f t="shared" si="20"/>
        <v>1.1044000000000001E-4</v>
      </c>
      <c r="E687" s="69">
        <f t="shared" ca="1" si="21"/>
        <v>4.4347706969542844E-3</v>
      </c>
      <c r="F687" s="249" t="s">
        <v>37</v>
      </c>
      <c r="G687" s="220"/>
      <c r="H687" s="220"/>
      <c r="I687" s="220"/>
      <c r="J687" s="251"/>
      <c r="K687" s="254"/>
      <c r="L687" s="220"/>
      <c r="M687" s="220"/>
      <c r="N687" s="220"/>
      <c r="O687" s="220"/>
      <c r="P687" s="220"/>
      <c r="Q687" s="220"/>
      <c r="S687" s="227"/>
      <c r="AB687" s="14" t="s">
        <v>2009</v>
      </c>
    </row>
    <row r="688" spans="1:28" ht="30" customHeight="1" x14ac:dyDescent="0.55000000000000004">
      <c r="A688" s="251" t="s">
        <v>2010</v>
      </c>
      <c r="B688" s="252" t="s">
        <v>2011</v>
      </c>
      <c r="C688" s="140">
        <v>0.2337355512</v>
      </c>
      <c r="D688" s="248">
        <f t="shared" si="20"/>
        <v>2.3373555119999999E-3</v>
      </c>
      <c r="E688" s="69">
        <f t="shared" ca="1" si="21"/>
        <v>6.9725370341716608E-2</v>
      </c>
      <c r="F688" s="249" t="s">
        <v>39</v>
      </c>
      <c r="G688" s="220"/>
      <c r="H688" s="220"/>
      <c r="I688" s="220"/>
      <c r="J688" s="251"/>
      <c r="K688" s="254"/>
      <c r="L688" s="220"/>
      <c r="M688" s="220"/>
      <c r="N688" s="220"/>
      <c r="O688" s="220"/>
      <c r="P688" s="220"/>
      <c r="Q688" s="220"/>
      <c r="S688" s="227"/>
      <c r="AB688" s="14" t="s">
        <v>2012</v>
      </c>
    </row>
    <row r="689" spans="1:28" ht="30" customHeight="1" x14ac:dyDescent="0.55000000000000004">
      <c r="A689" s="245" t="s">
        <v>2010</v>
      </c>
      <c r="B689" s="246" t="s">
        <v>2011</v>
      </c>
      <c r="C689" s="247">
        <v>0.106501</v>
      </c>
      <c r="D689" s="248">
        <f t="shared" si="20"/>
        <v>1.0650099999999999E-3</v>
      </c>
      <c r="E689" s="69">
        <f t="shared" ca="1" si="21"/>
        <v>4.2765982795755907E-2</v>
      </c>
      <c r="F689" s="249" t="s">
        <v>37</v>
      </c>
      <c r="G689" s="220"/>
      <c r="H689" s="220"/>
      <c r="I689" s="220"/>
      <c r="J689" s="251"/>
      <c r="K689" s="254"/>
      <c r="L689" s="220"/>
      <c r="M689" s="220"/>
      <c r="N689" s="220"/>
      <c r="O689" s="220"/>
      <c r="P689" s="220"/>
      <c r="Q689" s="220"/>
      <c r="S689" s="227"/>
      <c r="AB689" s="14" t="s">
        <v>2013</v>
      </c>
    </row>
    <row r="690" spans="1:28" ht="30" customHeight="1" x14ac:dyDescent="0.55000000000000004">
      <c r="A690" s="251" t="s">
        <v>2014</v>
      </c>
      <c r="B690" s="252" t="s">
        <v>2015</v>
      </c>
      <c r="C690" s="140">
        <v>0.10594949269999999</v>
      </c>
      <c r="D690" s="248">
        <f t="shared" si="20"/>
        <v>1.059494927E-3</v>
      </c>
      <c r="E690" s="69">
        <f t="shared" ca="1" si="21"/>
        <v>3.1605665368822589E-2</v>
      </c>
      <c r="F690" s="249" t="s">
        <v>39</v>
      </c>
      <c r="G690" s="220"/>
      <c r="H690" s="220"/>
      <c r="I690" s="220"/>
      <c r="J690" s="251"/>
      <c r="K690" s="254"/>
      <c r="L690" s="220"/>
      <c r="M690" s="220"/>
      <c r="N690" s="220"/>
      <c r="O690" s="220"/>
      <c r="P690" s="220"/>
      <c r="Q690" s="220"/>
      <c r="S690" s="227"/>
      <c r="AB690" s="14" t="s">
        <v>2016</v>
      </c>
    </row>
    <row r="691" spans="1:28" ht="30" customHeight="1" x14ac:dyDescent="0.55000000000000004">
      <c r="A691" s="245" t="s">
        <v>2014</v>
      </c>
      <c r="B691" s="246" t="s">
        <v>2015</v>
      </c>
      <c r="C691" s="247">
        <v>4.6746999999999997E-2</v>
      </c>
      <c r="D691" s="248">
        <f t="shared" si="20"/>
        <v>4.6746999999999999E-4</v>
      </c>
      <c r="E691" s="69">
        <f t="shared" ca="1" si="21"/>
        <v>1.8771480058902747E-2</v>
      </c>
      <c r="F691" s="249" t="s">
        <v>37</v>
      </c>
      <c r="G691" s="220"/>
      <c r="H691" s="220"/>
      <c r="I691" s="220"/>
      <c r="J691" s="251"/>
      <c r="K691" s="254"/>
      <c r="L691" s="220"/>
      <c r="M691" s="220"/>
      <c r="N691" s="220"/>
      <c r="O691" s="220"/>
      <c r="P691" s="220"/>
      <c r="Q691" s="220"/>
      <c r="S691" s="227"/>
      <c r="AB691" s="14" t="s">
        <v>2017</v>
      </c>
    </row>
    <row r="692" spans="1:28" ht="30" customHeight="1" x14ac:dyDescent="0.55000000000000004">
      <c r="A692" s="251" t="s">
        <v>2018</v>
      </c>
      <c r="B692" s="252" t="s">
        <v>2019</v>
      </c>
      <c r="C692" s="140">
        <v>4.8327103099999998E-2</v>
      </c>
      <c r="D692" s="248">
        <f t="shared" si="20"/>
        <v>4.83271031E-4</v>
      </c>
      <c r="E692" s="69">
        <f t="shared" ca="1" si="21"/>
        <v>1.4416399832589182E-2</v>
      </c>
      <c r="F692" s="249" t="s">
        <v>39</v>
      </c>
      <c r="G692" s="220"/>
      <c r="H692" s="220"/>
      <c r="I692" s="220"/>
      <c r="J692" s="251"/>
      <c r="K692" s="254"/>
      <c r="L692" s="220"/>
      <c r="M692" s="220"/>
      <c r="N692" s="220"/>
      <c r="O692" s="220"/>
      <c r="P692" s="220"/>
      <c r="Q692" s="220"/>
      <c r="S692" s="227"/>
      <c r="AB692" s="14" t="s">
        <v>2020</v>
      </c>
    </row>
    <row r="693" spans="1:28" ht="30" customHeight="1" x14ac:dyDescent="0.55000000000000004">
      <c r="A693" s="245" t="s">
        <v>2021</v>
      </c>
      <c r="B693" s="246" t="s">
        <v>2022</v>
      </c>
      <c r="C693" s="247">
        <v>1.1056E-2</v>
      </c>
      <c r="D693" s="248">
        <f t="shared" si="20"/>
        <v>1.1056E-4</v>
      </c>
      <c r="E693" s="69">
        <f t="shared" ca="1" si="21"/>
        <v>4.4395893539955246E-3</v>
      </c>
      <c r="F693" s="249" t="s">
        <v>37</v>
      </c>
      <c r="G693" s="220"/>
      <c r="H693" s="220"/>
      <c r="I693" s="220"/>
      <c r="J693" s="251"/>
      <c r="K693" s="254"/>
      <c r="L693" s="220"/>
      <c r="M693" s="220"/>
      <c r="N693" s="220"/>
      <c r="O693" s="220"/>
      <c r="P693" s="220"/>
      <c r="Q693" s="220"/>
      <c r="S693" s="227"/>
      <c r="AB693" s="14" t="s">
        <v>2023</v>
      </c>
    </row>
    <row r="694" spans="1:28" ht="30" customHeight="1" x14ac:dyDescent="0.55000000000000004">
      <c r="A694" s="251" t="s">
        <v>2024</v>
      </c>
      <c r="B694" s="252" t="s">
        <v>2025</v>
      </c>
      <c r="C694" s="140">
        <v>0.21544057029999999</v>
      </c>
      <c r="D694" s="248">
        <f t="shared" si="20"/>
        <v>2.1544057030000001E-3</v>
      </c>
      <c r="E694" s="69">
        <f t="shared" ca="1" si="21"/>
        <v>6.426781665722972E-2</v>
      </c>
      <c r="F694" s="249" t="s">
        <v>39</v>
      </c>
      <c r="G694" s="220"/>
      <c r="H694" s="220"/>
      <c r="I694" s="220"/>
      <c r="J694" s="251"/>
      <c r="K694" s="254"/>
      <c r="L694" s="220"/>
      <c r="M694" s="220"/>
      <c r="N694" s="220"/>
      <c r="O694" s="220"/>
      <c r="P694" s="220"/>
      <c r="Q694" s="220"/>
      <c r="S694" s="227"/>
      <c r="AB694" s="14" t="s">
        <v>2026</v>
      </c>
    </row>
    <row r="695" spans="1:28" ht="30" customHeight="1" x14ac:dyDescent="0.55000000000000004">
      <c r="A695" s="245" t="s">
        <v>2024</v>
      </c>
      <c r="B695" s="246" t="s">
        <v>2025</v>
      </c>
      <c r="C695" s="247">
        <v>9.5478999999999994E-2</v>
      </c>
      <c r="D695" s="248">
        <f t="shared" si="20"/>
        <v>9.5478999999999996E-4</v>
      </c>
      <c r="E695" s="69">
        <f t="shared" ca="1" si="21"/>
        <v>3.8340046303377229E-2</v>
      </c>
      <c r="F695" s="249" t="s">
        <v>37</v>
      </c>
      <c r="G695" s="220"/>
      <c r="H695" s="220"/>
      <c r="I695" s="220"/>
      <c r="J695" s="251"/>
      <c r="K695" s="254"/>
      <c r="L695" s="220"/>
      <c r="M695" s="220"/>
      <c r="N695" s="220"/>
      <c r="O695" s="220"/>
      <c r="P695" s="220"/>
      <c r="Q695" s="220"/>
      <c r="S695" s="227"/>
      <c r="AB695" s="14" t="s">
        <v>2027</v>
      </c>
    </row>
    <row r="696" spans="1:28" ht="30" customHeight="1" x14ac:dyDescent="0.55000000000000004">
      <c r="A696" s="251" t="s">
        <v>2028</v>
      </c>
      <c r="B696" s="252" t="s">
        <v>2029</v>
      </c>
      <c r="C696" s="140">
        <v>1.6759318499999998E-2</v>
      </c>
      <c r="D696" s="248">
        <f t="shared" si="20"/>
        <v>1.6759318499999997E-4</v>
      </c>
      <c r="E696" s="69">
        <f t="shared" ca="1" si="21"/>
        <v>4.9994520862912794E-3</v>
      </c>
      <c r="F696" s="249" t="s">
        <v>39</v>
      </c>
      <c r="G696" s="220"/>
      <c r="H696" s="220"/>
      <c r="I696" s="220"/>
      <c r="J696" s="251"/>
      <c r="K696" s="254"/>
      <c r="L696" s="220"/>
      <c r="M696" s="220"/>
      <c r="N696" s="220"/>
      <c r="O696" s="220"/>
      <c r="P696" s="220"/>
      <c r="Q696" s="220"/>
      <c r="S696" s="227"/>
      <c r="AB696" s="14" t="s">
        <v>2030</v>
      </c>
    </row>
    <row r="697" spans="1:28" ht="30" customHeight="1" x14ac:dyDescent="0.55000000000000004">
      <c r="A697" s="245" t="s">
        <v>2031</v>
      </c>
      <c r="B697" s="246" t="s">
        <v>2032</v>
      </c>
      <c r="C697" s="247">
        <v>8.9252999999999999E-2</v>
      </c>
      <c r="D697" s="248">
        <f t="shared" si="20"/>
        <v>8.9252999999999999E-4</v>
      </c>
      <c r="E697" s="69">
        <f t="shared" ca="1" si="21"/>
        <v>3.5839966408480688E-2</v>
      </c>
      <c r="F697" s="249" t="s">
        <v>37</v>
      </c>
      <c r="G697" s="220"/>
      <c r="H697" s="220"/>
      <c r="I697" s="220"/>
      <c r="J697" s="251"/>
      <c r="K697" s="254"/>
      <c r="L697" s="220"/>
      <c r="M697" s="220"/>
      <c r="N697" s="220"/>
      <c r="O697" s="220"/>
      <c r="P697" s="220"/>
      <c r="Q697" s="220"/>
      <c r="S697" s="227"/>
      <c r="AB697" s="14" t="s">
        <v>2033</v>
      </c>
    </row>
    <row r="698" spans="1:28" ht="30" customHeight="1" x14ac:dyDescent="0.55000000000000004">
      <c r="A698" s="245" t="s">
        <v>2034</v>
      </c>
      <c r="B698" s="246" t="s">
        <v>2035</v>
      </c>
      <c r="C698" s="247">
        <v>9.2053999999999997E-2</v>
      </c>
      <c r="D698" s="248">
        <f t="shared" si="20"/>
        <v>9.2053999999999997E-4</v>
      </c>
      <c r="E698" s="69">
        <f t="shared" ca="1" si="21"/>
        <v>3.6964721272856729E-2</v>
      </c>
      <c r="F698" s="249" t="s">
        <v>37</v>
      </c>
      <c r="G698" s="220"/>
      <c r="H698" s="220"/>
      <c r="I698" s="220"/>
      <c r="J698" s="251"/>
      <c r="K698" s="254"/>
      <c r="L698" s="220"/>
      <c r="M698" s="220"/>
      <c r="N698" s="220"/>
      <c r="O698" s="220"/>
      <c r="P698" s="220"/>
      <c r="Q698" s="220"/>
      <c r="S698" s="227"/>
      <c r="AB698" s="14" t="s">
        <v>2036</v>
      </c>
    </row>
    <row r="699" spans="1:28" ht="30" customHeight="1" x14ac:dyDescent="0.55000000000000004">
      <c r="A699" s="251" t="s">
        <v>2037</v>
      </c>
      <c r="B699" s="252" t="s">
        <v>2038</v>
      </c>
      <c r="C699" s="140">
        <v>1.4330079306000001</v>
      </c>
      <c r="D699" s="248">
        <f t="shared" si="20"/>
        <v>1.4330079306E-2</v>
      </c>
      <c r="E699" s="69">
        <f t="shared" ca="1" si="21"/>
        <v>0.43009791710229001</v>
      </c>
      <c r="F699" s="249" t="s">
        <v>38</v>
      </c>
      <c r="G699" s="220"/>
      <c r="H699" s="220"/>
      <c r="I699" s="220"/>
      <c r="J699" s="251"/>
      <c r="K699" s="254"/>
      <c r="L699" s="220"/>
      <c r="M699" s="220"/>
      <c r="N699" s="220"/>
      <c r="O699" s="220"/>
      <c r="P699" s="220"/>
      <c r="Q699" s="220"/>
      <c r="S699" s="227"/>
      <c r="AB699" s="14" t="s">
        <v>2039</v>
      </c>
    </row>
    <row r="700" spans="1:28" ht="30" customHeight="1" x14ac:dyDescent="0.55000000000000004">
      <c r="A700" s="245" t="s">
        <v>2037</v>
      </c>
      <c r="B700" s="246" t="s">
        <v>2038</v>
      </c>
      <c r="C700" s="247">
        <v>8.6047999999999999E-2</v>
      </c>
      <c r="D700" s="248">
        <f t="shared" si="20"/>
        <v>8.6047999999999995E-4</v>
      </c>
      <c r="E700" s="69">
        <f t="shared" ca="1" si="21"/>
        <v>3.4552983423716252E-2</v>
      </c>
      <c r="F700" s="249" t="s">
        <v>37</v>
      </c>
      <c r="G700" s="220"/>
      <c r="H700" s="220"/>
      <c r="I700" s="220"/>
      <c r="J700" s="251"/>
      <c r="K700" s="254"/>
      <c r="L700" s="220"/>
      <c r="M700" s="220"/>
      <c r="N700" s="220"/>
      <c r="O700" s="220"/>
      <c r="P700" s="220"/>
      <c r="Q700" s="220"/>
      <c r="S700" s="227"/>
      <c r="AB700" s="14" t="s">
        <v>2040</v>
      </c>
    </row>
    <row r="701" spans="1:28" ht="30" customHeight="1" x14ac:dyDescent="0.45">
      <c r="A701" s="251" t="s">
        <v>2041</v>
      </c>
      <c r="B701" s="252" t="s">
        <v>2042</v>
      </c>
      <c r="C701" s="140">
        <v>2.0157208100000001E-2</v>
      </c>
      <c r="D701" s="248">
        <f t="shared" si="20"/>
        <v>2.0157208100000002E-4</v>
      </c>
      <c r="E701" s="69">
        <f t="shared" ca="1" si="21"/>
        <v>6.049912937172274E-3</v>
      </c>
      <c r="F701" s="249" t="s">
        <v>38</v>
      </c>
      <c r="G701" s="220"/>
      <c r="H701" s="220"/>
      <c r="I701" s="220"/>
      <c r="J701" s="251"/>
      <c r="K701" s="254"/>
      <c r="L701" s="220"/>
      <c r="M701" s="220"/>
      <c r="N701" s="220"/>
      <c r="O701" s="220"/>
      <c r="P701" s="220"/>
      <c r="Q701" s="220"/>
      <c r="AB701" s="14" t="s">
        <v>2043</v>
      </c>
    </row>
    <row r="702" spans="1:28" ht="30" customHeight="1" x14ac:dyDescent="0.45">
      <c r="A702" s="245" t="s">
        <v>2044</v>
      </c>
      <c r="B702" s="246" t="s">
        <v>2045</v>
      </c>
      <c r="C702" s="247">
        <v>0.25479099999999999</v>
      </c>
      <c r="D702" s="248">
        <f t="shared" si="20"/>
        <v>2.54791E-3</v>
      </c>
      <c r="E702" s="69">
        <f t="shared" ca="1" si="21"/>
        <v>0.10231253718287568</v>
      </c>
      <c r="F702" s="249" t="s">
        <v>37</v>
      </c>
      <c r="G702" s="220"/>
      <c r="H702" s="220"/>
      <c r="I702" s="220"/>
      <c r="J702" s="251"/>
      <c r="K702" s="254"/>
      <c r="L702" s="220"/>
      <c r="M702" s="220"/>
      <c r="N702" s="220"/>
      <c r="O702" s="220"/>
      <c r="P702" s="220"/>
      <c r="Q702" s="220"/>
      <c r="AB702" s="14" t="s">
        <v>2046</v>
      </c>
    </row>
    <row r="703" spans="1:28" ht="30" customHeight="1" x14ac:dyDescent="0.45">
      <c r="A703" s="251" t="s">
        <v>2047</v>
      </c>
      <c r="B703" s="252" t="s">
        <v>2048</v>
      </c>
      <c r="C703" s="140">
        <v>4.58852186E-2</v>
      </c>
      <c r="D703" s="248">
        <f t="shared" si="20"/>
        <v>4.5885218600000001E-4</v>
      </c>
      <c r="E703" s="69">
        <f t="shared" ca="1" si="21"/>
        <v>1.3687964212846808E-2</v>
      </c>
      <c r="F703" s="249" t="s">
        <v>39</v>
      </c>
      <c r="G703" s="220"/>
      <c r="H703" s="220"/>
      <c r="I703" s="220"/>
      <c r="J703" s="251"/>
      <c r="K703" s="254"/>
      <c r="L703" s="220"/>
      <c r="M703" s="220"/>
      <c r="N703" s="220"/>
      <c r="O703" s="220"/>
      <c r="P703" s="220"/>
      <c r="Q703" s="220"/>
      <c r="AB703" s="14" t="s">
        <v>2049</v>
      </c>
    </row>
    <row r="704" spans="1:28" ht="30" customHeight="1" x14ac:dyDescent="0.45">
      <c r="A704" s="245" t="s">
        <v>2047</v>
      </c>
      <c r="B704" s="246" t="s">
        <v>2050</v>
      </c>
      <c r="C704" s="247">
        <v>1.9244000000000001E-2</v>
      </c>
      <c r="D704" s="248">
        <f t="shared" si="20"/>
        <v>1.9243999999999999E-4</v>
      </c>
      <c r="E704" s="69">
        <f t="shared" ca="1" si="21"/>
        <v>7.7275196751347567E-3</v>
      </c>
      <c r="F704" s="249" t="s">
        <v>37</v>
      </c>
      <c r="G704" s="220"/>
      <c r="H704" s="220"/>
      <c r="I704" s="220"/>
      <c r="J704" s="251"/>
      <c r="K704" s="254"/>
      <c r="L704" s="220"/>
      <c r="M704" s="220"/>
      <c r="N704" s="220"/>
      <c r="O704" s="220"/>
      <c r="P704" s="220"/>
      <c r="Q704" s="220"/>
      <c r="AB704" s="14" t="s">
        <v>2051</v>
      </c>
    </row>
    <row r="705" spans="1:28" ht="30" customHeight="1" x14ac:dyDescent="0.45">
      <c r="A705" s="251" t="s">
        <v>2052</v>
      </c>
      <c r="B705" s="252" t="s">
        <v>2053</v>
      </c>
      <c r="C705" s="140">
        <v>5.6555651300000002E-2</v>
      </c>
      <c r="D705" s="248">
        <f t="shared" si="20"/>
        <v>5.6555651300000005E-4</v>
      </c>
      <c r="E705" s="69">
        <f t="shared" ca="1" si="21"/>
        <v>1.6871048120682661E-2</v>
      </c>
      <c r="F705" s="249" t="s">
        <v>39</v>
      </c>
      <c r="G705" s="220"/>
      <c r="H705" s="220"/>
      <c r="I705" s="220"/>
      <c r="J705" s="251"/>
      <c r="K705" s="254"/>
      <c r="L705" s="220"/>
      <c r="M705" s="220"/>
      <c r="N705" s="220"/>
      <c r="O705" s="220"/>
      <c r="P705" s="220"/>
      <c r="Q705" s="220"/>
      <c r="AB705" s="14" t="s">
        <v>2054</v>
      </c>
    </row>
    <row r="706" spans="1:28" ht="30" customHeight="1" x14ac:dyDescent="0.45">
      <c r="A706" s="251" t="s">
        <v>2055</v>
      </c>
      <c r="B706" s="252" t="s">
        <v>2056</v>
      </c>
      <c r="C706" s="140">
        <v>0.59582288370000003</v>
      </c>
      <c r="D706" s="248">
        <f t="shared" si="20"/>
        <v>5.958228837E-3</v>
      </c>
      <c r="E706" s="69">
        <f t="shared" ca="1" si="21"/>
        <v>0.17773920574240842</v>
      </c>
      <c r="F706" s="249" t="s">
        <v>39</v>
      </c>
      <c r="G706" s="220"/>
      <c r="H706" s="220"/>
      <c r="I706" s="220"/>
      <c r="J706" s="251"/>
      <c r="K706" s="254"/>
      <c r="L706" s="220"/>
      <c r="M706" s="220"/>
      <c r="N706" s="220"/>
      <c r="O706" s="220"/>
      <c r="P706" s="220"/>
      <c r="Q706" s="220"/>
      <c r="AB706" s="14" t="s">
        <v>2057</v>
      </c>
    </row>
    <row r="707" spans="1:28" ht="30" customHeight="1" x14ac:dyDescent="0.45">
      <c r="A707" s="245" t="s">
        <v>2055</v>
      </c>
      <c r="B707" s="246" t="s">
        <v>2056</v>
      </c>
      <c r="C707" s="247">
        <v>0.26251799999999997</v>
      </c>
      <c r="D707" s="248">
        <f t="shared" si="20"/>
        <v>2.6251799999999995E-3</v>
      </c>
      <c r="E707" s="69">
        <f t="shared" ca="1" si="21"/>
        <v>0.10541535076268062</v>
      </c>
      <c r="F707" s="249" t="s">
        <v>37</v>
      </c>
      <c r="G707" s="220"/>
      <c r="H707" s="220"/>
      <c r="I707" s="220"/>
      <c r="J707" s="251"/>
      <c r="K707" s="254"/>
      <c r="L707" s="220"/>
      <c r="M707" s="220"/>
      <c r="N707" s="220"/>
      <c r="O707" s="220"/>
      <c r="P707" s="220"/>
      <c r="Q707" s="220"/>
      <c r="AB707" s="14" t="s">
        <v>2058</v>
      </c>
    </row>
    <row r="708" spans="1:28" ht="30" customHeight="1" x14ac:dyDescent="0.45">
      <c r="A708" s="251" t="s">
        <v>2059</v>
      </c>
      <c r="B708" s="252" t="s">
        <v>2060</v>
      </c>
      <c r="C708" s="140">
        <v>0.3149785054</v>
      </c>
      <c r="D708" s="248">
        <f t="shared" si="20"/>
        <v>3.1497850539999998E-3</v>
      </c>
      <c r="E708" s="69">
        <f t="shared" ca="1" si="21"/>
        <v>9.3960858012152412E-2</v>
      </c>
      <c r="F708" s="249" t="s">
        <v>39</v>
      </c>
      <c r="G708" s="220"/>
      <c r="H708" s="220"/>
      <c r="I708" s="220"/>
      <c r="J708" s="251"/>
      <c r="K708" s="254"/>
      <c r="L708" s="220"/>
      <c r="M708" s="220"/>
      <c r="N708" s="220"/>
      <c r="O708" s="220"/>
      <c r="P708" s="220"/>
      <c r="Q708" s="220"/>
      <c r="AB708" s="14" t="s">
        <v>2061</v>
      </c>
    </row>
    <row r="709" spans="1:28" ht="30" customHeight="1" x14ac:dyDescent="0.45">
      <c r="A709" s="245" t="s">
        <v>2059</v>
      </c>
      <c r="B709" s="246" t="s">
        <v>2060</v>
      </c>
      <c r="C709" s="247">
        <v>0.141094</v>
      </c>
      <c r="D709" s="248">
        <f t="shared" si="20"/>
        <v>1.4109400000000001E-3</v>
      </c>
      <c r="E709" s="69">
        <f t="shared" ca="1" si="21"/>
        <v>5.6656966381389694E-2</v>
      </c>
      <c r="F709" s="249" t="s">
        <v>37</v>
      </c>
      <c r="G709" s="220"/>
      <c r="H709" s="220"/>
      <c r="I709" s="220"/>
      <c r="J709" s="251"/>
      <c r="K709" s="254"/>
      <c r="L709" s="220"/>
      <c r="M709" s="220"/>
      <c r="N709" s="220"/>
      <c r="O709" s="220"/>
      <c r="P709" s="220"/>
      <c r="Q709" s="220"/>
      <c r="AB709" s="14" t="s">
        <v>2062</v>
      </c>
    </row>
    <row r="710" spans="1:28" ht="30" customHeight="1" x14ac:dyDescent="0.45">
      <c r="A710" s="251" t="s">
        <v>2063</v>
      </c>
      <c r="B710" s="252" t="s">
        <v>2064</v>
      </c>
      <c r="C710" s="140">
        <v>3.8757050799999998E-2</v>
      </c>
      <c r="D710" s="248">
        <f t="shared" si="20"/>
        <v>3.8757050799999998E-4</v>
      </c>
      <c r="E710" s="69">
        <f t="shared" ca="1" si="21"/>
        <v>1.1561569074575265E-2</v>
      </c>
      <c r="F710" s="249" t="s">
        <v>39</v>
      </c>
      <c r="G710" s="220"/>
      <c r="H710" s="220"/>
      <c r="I710" s="220"/>
      <c r="J710" s="251"/>
      <c r="K710" s="254"/>
      <c r="L710" s="220"/>
      <c r="M710" s="220"/>
      <c r="N710" s="220"/>
      <c r="O710" s="220"/>
      <c r="P710" s="220"/>
      <c r="Q710" s="220"/>
      <c r="AB710" s="14" t="s">
        <v>2065</v>
      </c>
    </row>
    <row r="711" spans="1:28" ht="30" customHeight="1" x14ac:dyDescent="0.45">
      <c r="A711" s="251" t="s">
        <v>2066</v>
      </c>
      <c r="B711" s="252" t="s">
        <v>2067</v>
      </c>
      <c r="C711" s="140">
        <v>7.9531487799999995E-2</v>
      </c>
      <c r="D711" s="248">
        <f t="shared" si="20"/>
        <v>7.9531487799999994E-4</v>
      </c>
      <c r="E711" s="69">
        <f t="shared" ca="1" si="21"/>
        <v>2.3724942193058714E-2</v>
      </c>
      <c r="F711" s="249" t="s">
        <v>39</v>
      </c>
      <c r="G711" s="220"/>
      <c r="H711" s="220"/>
      <c r="I711" s="220"/>
      <c r="J711" s="251"/>
      <c r="K711" s="254"/>
      <c r="L711" s="220"/>
      <c r="M711" s="220"/>
      <c r="N711" s="220"/>
      <c r="O711" s="220"/>
      <c r="P711" s="220"/>
      <c r="Q711" s="220"/>
      <c r="AB711" s="14" t="s">
        <v>2068</v>
      </c>
    </row>
    <row r="712" spans="1:28" ht="30" customHeight="1" x14ac:dyDescent="0.45">
      <c r="A712" s="245" t="s">
        <v>2066</v>
      </c>
      <c r="B712" s="246" t="s">
        <v>2067</v>
      </c>
      <c r="C712" s="247">
        <v>3.5076000000000003E-2</v>
      </c>
      <c r="D712" s="248">
        <f t="shared" si="20"/>
        <v>3.5076000000000004E-4</v>
      </c>
      <c r="E712" s="69">
        <f t="shared" ca="1" si="21"/>
        <v>1.4084934531543688E-2</v>
      </c>
      <c r="F712" s="249" t="s">
        <v>37</v>
      </c>
      <c r="G712" s="220"/>
      <c r="H712" s="220"/>
      <c r="I712" s="220"/>
      <c r="J712" s="251"/>
      <c r="K712" s="254"/>
      <c r="L712" s="220"/>
      <c r="M712" s="220"/>
      <c r="N712" s="220"/>
      <c r="O712" s="220"/>
      <c r="P712" s="220"/>
      <c r="Q712" s="220"/>
      <c r="AB712" s="14" t="s">
        <v>2069</v>
      </c>
    </row>
    <row r="713" spans="1:28" ht="30" customHeight="1" x14ac:dyDescent="0.45">
      <c r="A713" s="245" t="s">
        <v>2070</v>
      </c>
      <c r="B713" s="246" t="s">
        <v>2071</v>
      </c>
      <c r="C713" s="247">
        <v>4.2070000000000003E-2</v>
      </c>
      <c r="D713" s="248">
        <f t="shared" si="20"/>
        <v>4.2070000000000003E-4</v>
      </c>
      <c r="E713" s="69">
        <f t="shared" ca="1" si="21"/>
        <v>1.6893408477079569E-2</v>
      </c>
      <c r="F713" s="249" t="s">
        <v>37</v>
      </c>
      <c r="G713" s="220"/>
      <c r="H713" s="220"/>
      <c r="I713" s="220"/>
      <c r="J713" s="251"/>
      <c r="K713" s="254"/>
      <c r="L713" s="220"/>
      <c r="M713" s="220"/>
      <c r="N713" s="220"/>
      <c r="O713" s="220"/>
      <c r="P713" s="220"/>
      <c r="Q713" s="220"/>
      <c r="AB713" s="14" t="s">
        <v>2072</v>
      </c>
    </row>
    <row r="714" spans="1:28" ht="30" customHeight="1" x14ac:dyDescent="0.45">
      <c r="A714" s="251" t="s">
        <v>2073</v>
      </c>
      <c r="B714" s="252" t="s">
        <v>2074</v>
      </c>
      <c r="C714" s="140">
        <v>0.20338620860000001</v>
      </c>
      <c r="D714" s="248">
        <f t="shared" si="20"/>
        <v>2.0338620860000001E-3</v>
      </c>
      <c r="E714" s="69">
        <f t="shared" ca="1" si="21"/>
        <v>6.0671894558728241E-2</v>
      </c>
      <c r="F714" s="249" t="s">
        <v>39</v>
      </c>
      <c r="G714" s="220"/>
      <c r="H714" s="220"/>
      <c r="I714" s="220"/>
      <c r="J714" s="251"/>
      <c r="K714" s="254"/>
      <c r="L714" s="220"/>
      <c r="M714" s="220"/>
      <c r="N714" s="220"/>
      <c r="O714" s="220"/>
      <c r="P714" s="220"/>
      <c r="Q714" s="220"/>
      <c r="AB714" s="14" t="s">
        <v>2075</v>
      </c>
    </row>
    <row r="715" spans="1:28" ht="30" customHeight="1" x14ac:dyDescent="0.45">
      <c r="A715" s="245" t="s">
        <v>2073</v>
      </c>
      <c r="B715" s="246" t="s">
        <v>2074</v>
      </c>
      <c r="C715" s="247">
        <v>8.8594000000000006E-2</v>
      </c>
      <c r="D715" s="248">
        <f t="shared" si="20"/>
        <v>8.859400000000001E-4</v>
      </c>
      <c r="E715" s="69">
        <f t="shared" ca="1" si="21"/>
        <v>3.5575341825965945E-2</v>
      </c>
      <c r="F715" s="249" t="s">
        <v>37</v>
      </c>
      <c r="G715" s="220"/>
      <c r="H715" s="220"/>
      <c r="I715" s="220"/>
      <c r="J715" s="251"/>
      <c r="K715" s="254"/>
      <c r="L715" s="220"/>
      <c r="M715" s="220"/>
      <c r="N715" s="220"/>
      <c r="O715" s="220"/>
      <c r="P715" s="220"/>
      <c r="Q715" s="220"/>
      <c r="AB715" s="14" t="s">
        <v>2076</v>
      </c>
    </row>
    <row r="716" spans="1:28" ht="30" customHeight="1" x14ac:dyDescent="0.45">
      <c r="A716" s="245" t="s">
        <v>2077</v>
      </c>
      <c r="B716" s="246" t="s">
        <v>2078</v>
      </c>
      <c r="C716" s="247">
        <v>2.0419E-2</v>
      </c>
      <c r="D716" s="248">
        <f t="shared" ref="D716:D779" si="22">C716/100</f>
        <v>2.0419000000000001E-4</v>
      </c>
      <c r="E716" s="69">
        <f t="shared" ref="E716:E779" ca="1" si="23">C716 * VLOOKUP(F716, $A$6:$B$8, 2, FALSE)</f>
        <v>8.1993465104228114E-3</v>
      </c>
      <c r="F716" s="249" t="s">
        <v>37</v>
      </c>
      <c r="G716" s="220"/>
      <c r="H716" s="220"/>
      <c r="I716" s="220"/>
      <c r="J716" s="251"/>
      <c r="K716" s="254"/>
      <c r="L716" s="220"/>
      <c r="M716" s="220"/>
      <c r="N716" s="220"/>
      <c r="O716" s="220"/>
      <c r="P716" s="220"/>
      <c r="Q716" s="220"/>
      <c r="AB716" s="14" t="s">
        <v>2079</v>
      </c>
    </row>
    <row r="717" spans="1:28" ht="30" customHeight="1" x14ac:dyDescent="0.45">
      <c r="A717" s="251" t="s">
        <v>2080</v>
      </c>
      <c r="B717" s="252" t="s">
        <v>2081</v>
      </c>
      <c r="C717" s="140">
        <v>0.575639452</v>
      </c>
      <c r="D717" s="248">
        <f t="shared" si="22"/>
        <v>5.7563945200000003E-3</v>
      </c>
      <c r="E717" s="69">
        <f t="shared" ca="1" si="23"/>
        <v>0.17277038320607299</v>
      </c>
      <c r="F717" s="249" t="s">
        <v>38</v>
      </c>
      <c r="G717" s="220"/>
      <c r="H717" s="220"/>
      <c r="I717" s="220"/>
      <c r="J717" s="251"/>
      <c r="K717" s="254"/>
      <c r="L717" s="220"/>
      <c r="M717" s="220"/>
      <c r="N717" s="220"/>
      <c r="O717" s="220"/>
      <c r="P717" s="220"/>
      <c r="Q717" s="220"/>
      <c r="AB717" s="14" t="s">
        <v>2082</v>
      </c>
    </row>
    <row r="718" spans="1:28" ht="30" customHeight="1" x14ac:dyDescent="0.45">
      <c r="A718" s="245" t="s">
        <v>2080</v>
      </c>
      <c r="B718" s="246" t="s">
        <v>2081</v>
      </c>
      <c r="C718" s="247">
        <v>3.5246E-2</v>
      </c>
      <c r="D718" s="248">
        <f t="shared" si="22"/>
        <v>3.5245999999999997E-4</v>
      </c>
      <c r="E718" s="69">
        <f t="shared" ca="1" si="23"/>
        <v>1.4153198839627916E-2</v>
      </c>
      <c r="F718" s="249" t="s">
        <v>37</v>
      </c>
      <c r="G718" s="220"/>
      <c r="H718" s="220"/>
      <c r="I718" s="220"/>
      <c r="J718" s="251"/>
      <c r="K718" s="254"/>
      <c r="L718" s="220"/>
      <c r="M718" s="220"/>
      <c r="N718" s="220"/>
      <c r="O718" s="220"/>
      <c r="P718" s="220"/>
      <c r="Q718" s="220"/>
      <c r="AB718" s="14" t="s">
        <v>2083</v>
      </c>
    </row>
    <row r="719" spans="1:28" ht="30" customHeight="1" x14ac:dyDescent="0.45">
      <c r="A719" s="245" t="s">
        <v>2084</v>
      </c>
      <c r="B719" s="246" t="s">
        <v>2085</v>
      </c>
      <c r="C719" s="247">
        <v>9.9927000000000002E-2</v>
      </c>
      <c r="D719" s="248">
        <f t="shared" si="22"/>
        <v>9.9927000000000002E-4</v>
      </c>
      <c r="E719" s="69">
        <f t="shared" ca="1" si="23"/>
        <v>4.012616184666342E-2</v>
      </c>
      <c r="F719" s="249" t="s">
        <v>37</v>
      </c>
      <c r="G719" s="220"/>
      <c r="H719" s="220"/>
      <c r="I719" s="220"/>
      <c r="J719" s="251"/>
      <c r="K719" s="254"/>
      <c r="L719" s="220"/>
      <c r="M719" s="220"/>
      <c r="N719" s="220"/>
      <c r="O719" s="220"/>
      <c r="P719" s="220"/>
      <c r="Q719" s="220"/>
      <c r="AB719" s="14" t="s">
        <v>2086</v>
      </c>
    </row>
    <row r="720" spans="1:28" ht="30" customHeight="1" x14ac:dyDescent="0.45">
      <c r="A720" s="245" t="s">
        <v>2087</v>
      </c>
      <c r="B720" s="246" t="s">
        <v>2088</v>
      </c>
      <c r="C720" s="247">
        <v>2.4701000000000001E-2</v>
      </c>
      <c r="D720" s="248">
        <f t="shared" si="22"/>
        <v>2.4700999999999998E-4</v>
      </c>
      <c r="E720" s="69">
        <f t="shared" ca="1" si="23"/>
        <v>9.918803964638517E-3</v>
      </c>
      <c r="F720" s="249" t="s">
        <v>37</v>
      </c>
      <c r="G720" s="220"/>
      <c r="H720" s="220"/>
      <c r="I720" s="220"/>
      <c r="J720" s="251"/>
      <c r="K720" s="254"/>
      <c r="L720" s="220"/>
      <c r="M720" s="220"/>
      <c r="N720" s="220"/>
      <c r="O720" s="220"/>
      <c r="P720" s="220"/>
      <c r="Q720" s="220"/>
      <c r="AB720" s="14" t="s">
        <v>2089</v>
      </c>
    </row>
    <row r="721" spans="1:28" ht="30" customHeight="1" x14ac:dyDescent="0.45">
      <c r="A721" s="251" t="s">
        <v>2090</v>
      </c>
      <c r="B721" s="252" t="s">
        <v>2091</v>
      </c>
      <c r="C721" s="140">
        <v>4.0301409606999998</v>
      </c>
      <c r="D721" s="248">
        <f t="shared" si="22"/>
        <v>4.0301409606999995E-2</v>
      </c>
      <c r="E721" s="69">
        <f t="shared" ca="1" si="23"/>
        <v>1.2022264887453245</v>
      </c>
      <c r="F721" s="249" t="s">
        <v>39</v>
      </c>
      <c r="G721" s="220"/>
      <c r="H721" s="220"/>
      <c r="I721" s="220"/>
      <c r="J721" s="251"/>
      <c r="K721" s="254"/>
      <c r="L721" s="220"/>
      <c r="M721" s="220"/>
      <c r="N721" s="220"/>
      <c r="O721" s="220"/>
      <c r="P721" s="220"/>
      <c r="Q721" s="220"/>
      <c r="AB721" s="14" t="s">
        <v>2092</v>
      </c>
    </row>
    <row r="722" spans="1:28" ht="30" customHeight="1" x14ac:dyDescent="0.45">
      <c r="A722" s="245" t="s">
        <v>2090</v>
      </c>
      <c r="B722" s="246" t="s">
        <v>2091</v>
      </c>
      <c r="C722" s="247">
        <v>1.961117</v>
      </c>
      <c r="D722" s="248">
        <f t="shared" si="22"/>
        <v>1.9611170000000001E-2</v>
      </c>
      <c r="E722" s="69">
        <f t="shared" ca="1" si="23"/>
        <v>0.78749585339540884</v>
      </c>
      <c r="F722" s="249" t="s">
        <v>37</v>
      </c>
      <c r="G722" s="220"/>
      <c r="H722" s="220"/>
      <c r="I722" s="220"/>
      <c r="J722" s="251"/>
      <c r="K722" s="254"/>
      <c r="L722" s="220"/>
      <c r="M722" s="220"/>
      <c r="N722" s="220"/>
      <c r="O722" s="220"/>
      <c r="P722" s="220"/>
      <c r="Q722" s="220"/>
      <c r="AB722" s="14" t="s">
        <v>2093</v>
      </c>
    </row>
    <row r="723" spans="1:28" ht="30" customHeight="1" x14ac:dyDescent="0.45">
      <c r="A723" s="245" t="s">
        <v>2094</v>
      </c>
      <c r="B723" s="246" t="s">
        <v>2095</v>
      </c>
      <c r="C723" s="247">
        <v>2.9496999999999999E-2</v>
      </c>
      <c r="D723" s="248">
        <f t="shared" si="22"/>
        <v>2.9496999999999998E-4</v>
      </c>
      <c r="E723" s="69">
        <f t="shared" ca="1" si="23"/>
        <v>1.1844660562120655E-2</v>
      </c>
      <c r="F723" s="249" t="s">
        <v>37</v>
      </c>
      <c r="G723" s="220"/>
      <c r="H723" s="220"/>
      <c r="I723" s="220"/>
      <c r="J723" s="251"/>
      <c r="K723" s="254"/>
      <c r="L723" s="220"/>
      <c r="M723" s="220"/>
      <c r="N723" s="220"/>
      <c r="O723" s="220"/>
      <c r="P723" s="220"/>
      <c r="Q723" s="220"/>
      <c r="AB723" s="14" t="s">
        <v>2096</v>
      </c>
    </row>
    <row r="724" spans="1:28" ht="30" customHeight="1" x14ac:dyDescent="0.45">
      <c r="A724" s="251" t="s">
        <v>2097</v>
      </c>
      <c r="B724" s="252" t="s">
        <v>2098</v>
      </c>
      <c r="C724" s="140">
        <v>0.37820399739999999</v>
      </c>
      <c r="D724" s="248">
        <f t="shared" si="22"/>
        <v>3.7820399740000001E-3</v>
      </c>
      <c r="E724" s="69">
        <f t="shared" ca="1" si="23"/>
        <v>0.11282157826674945</v>
      </c>
      <c r="F724" s="249" t="s">
        <v>39</v>
      </c>
      <c r="G724" s="220"/>
      <c r="H724" s="220"/>
      <c r="I724" s="220"/>
      <c r="J724" s="251"/>
      <c r="K724" s="254"/>
      <c r="L724" s="220"/>
      <c r="M724" s="220"/>
      <c r="N724" s="220"/>
      <c r="O724" s="220"/>
      <c r="P724" s="220"/>
      <c r="Q724" s="220"/>
      <c r="AB724" s="14" t="s">
        <v>2099</v>
      </c>
    </row>
    <row r="725" spans="1:28" ht="30" customHeight="1" x14ac:dyDescent="0.45">
      <c r="A725" s="245" t="s">
        <v>2097</v>
      </c>
      <c r="B725" s="246" t="s">
        <v>2098</v>
      </c>
      <c r="C725" s="247">
        <v>0.16317499999999999</v>
      </c>
      <c r="D725" s="248">
        <f t="shared" si="22"/>
        <v>1.63175E-3</v>
      </c>
      <c r="E725" s="69">
        <f t="shared" ca="1" si="23"/>
        <v>6.5523696892024211E-2</v>
      </c>
      <c r="F725" s="249" t="s">
        <v>37</v>
      </c>
      <c r="G725" s="220"/>
      <c r="H725" s="220"/>
      <c r="I725" s="220"/>
      <c r="J725" s="251"/>
      <c r="K725" s="254"/>
      <c r="L725" s="220"/>
      <c r="M725" s="220"/>
      <c r="N725" s="220"/>
      <c r="O725" s="220"/>
      <c r="P725" s="220"/>
      <c r="Q725" s="220"/>
      <c r="AB725" s="14" t="s">
        <v>2100</v>
      </c>
    </row>
    <row r="726" spans="1:28" ht="30" customHeight="1" x14ac:dyDescent="0.45">
      <c r="A726" s="251" t="s">
        <v>2101</v>
      </c>
      <c r="B726" s="252" t="s">
        <v>2102</v>
      </c>
      <c r="C726" s="140">
        <v>3.1806685699999997E-2</v>
      </c>
      <c r="D726" s="248">
        <f t="shared" si="22"/>
        <v>3.1806685699999998E-4</v>
      </c>
      <c r="E726" s="69">
        <f t="shared" ca="1" si="23"/>
        <v>9.4882140452713527E-3</v>
      </c>
      <c r="F726" s="249" t="s">
        <v>39</v>
      </c>
      <c r="G726" s="220"/>
      <c r="H726" s="220"/>
      <c r="I726" s="220"/>
      <c r="J726" s="251"/>
      <c r="K726" s="254"/>
      <c r="L726" s="220"/>
      <c r="M726" s="220"/>
      <c r="N726" s="220"/>
      <c r="O726" s="220"/>
      <c r="P726" s="220"/>
      <c r="Q726" s="220"/>
      <c r="AB726" s="14" t="s">
        <v>2103</v>
      </c>
    </row>
    <row r="727" spans="1:28" ht="30" customHeight="1" x14ac:dyDescent="0.45">
      <c r="A727" s="245" t="s">
        <v>2101</v>
      </c>
      <c r="B727" s="246" t="s">
        <v>2104</v>
      </c>
      <c r="C727" s="247">
        <v>1.4134000000000001E-2</v>
      </c>
      <c r="D727" s="248">
        <f t="shared" si="22"/>
        <v>1.4134E-4</v>
      </c>
      <c r="E727" s="69">
        <f t="shared" ca="1" si="23"/>
        <v>5.6755748850735111E-3</v>
      </c>
      <c r="F727" s="249" t="s">
        <v>37</v>
      </c>
      <c r="G727" s="220"/>
      <c r="H727" s="220"/>
      <c r="I727" s="220"/>
      <c r="J727" s="251"/>
      <c r="K727" s="254"/>
      <c r="L727" s="220"/>
      <c r="M727" s="220"/>
      <c r="N727" s="220"/>
      <c r="O727" s="220"/>
      <c r="P727" s="220"/>
      <c r="Q727" s="220"/>
      <c r="AB727" s="14" t="s">
        <v>2105</v>
      </c>
    </row>
    <row r="728" spans="1:28" ht="30" customHeight="1" x14ac:dyDescent="0.45">
      <c r="A728" s="251" t="s">
        <v>2106</v>
      </c>
      <c r="B728" s="252" t="s">
        <v>2107</v>
      </c>
      <c r="C728" s="140">
        <v>0.14878391769999999</v>
      </c>
      <c r="D728" s="248">
        <f t="shared" si="22"/>
        <v>1.4878391769999999E-3</v>
      </c>
      <c r="E728" s="69">
        <f t="shared" ca="1" si="23"/>
        <v>4.4383551022785031E-2</v>
      </c>
      <c r="F728" s="249" t="s">
        <v>39</v>
      </c>
      <c r="G728" s="220"/>
      <c r="H728" s="220"/>
      <c r="I728" s="220"/>
      <c r="J728" s="251"/>
      <c r="K728" s="254"/>
      <c r="L728" s="220"/>
      <c r="M728" s="220"/>
      <c r="N728" s="220"/>
      <c r="O728" s="220"/>
      <c r="P728" s="220"/>
      <c r="Q728" s="220"/>
      <c r="AB728" s="14" t="s">
        <v>2108</v>
      </c>
    </row>
    <row r="729" spans="1:28" ht="30" customHeight="1" x14ac:dyDescent="0.45">
      <c r="A729" s="245" t="s">
        <v>2106</v>
      </c>
      <c r="B729" s="246" t="s">
        <v>2109</v>
      </c>
      <c r="C729" s="247">
        <v>6.1908999999999999E-2</v>
      </c>
      <c r="D729" s="248">
        <f t="shared" si="22"/>
        <v>6.1908999999999998E-4</v>
      </c>
      <c r="E729" s="69">
        <f t="shared" ca="1" si="23"/>
        <v>2.4859853230509127E-2</v>
      </c>
      <c r="F729" s="249" t="s">
        <v>37</v>
      </c>
      <c r="G729" s="220"/>
      <c r="H729" s="220"/>
      <c r="I729" s="220"/>
      <c r="J729" s="251"/>
      <c r="K729" s="254"/>
      <c r="L729" s="220"/>
      <c r="M729" s="220"/>
      <c r="N729" s="220"/>
      <c r="O729" s="220"/>
      <c r="P729" s="220"/>
      <c r="Q729" s="220"/>
      <c r="AB729" s="14" t="s">
        <v>2110</v>
      </c>
    </row>
    <row r="730" spans="1:28" ht="30" customHeight="1" x14ac:dyDescent="0.45">
      <c r="A730" s="251" t="s">
        <v>2111</v>
      </c>
      <c r="B730" s="252" t="s">
        <v>2112</v>
      </c>
      <c r="C730" s="140">
        <v>4.53139906E-2</v>
      </c>
      <c r="D730" s="248">
        <f t="shared" si="22"/>
        <v>4.5313990599999998E-4</v>
      </c>
      <c r="E730" s="69">
        <f t="shared" ca="1" si="23"/>
        <v>1.3517561877194079E-2</v>
      </c>
      <c r="F730" s="249" t="s">
        <v>39</v>
      </c>
      <c r="G730" s="220"/>
      <c r="H730" s="220"/>
      <c r="I730" s="220"/>
      <c r="J730" s="251"/>
      <c r="K730" s="254"/>
      <c r="L730" s="220"/>
      <c r="M730" s="220"/>
      <c r="N730" s="220"/>
      <c r="O730" s="220"/>
      <c r="P730" s="220"/>
      <c r="Q730" s="220"/>
      <c r="AB730" s="14" t="s">
        <v>2113</v>
      </c>
    </row>
    <row r="731" spans="1:28" ht="30" customHeight="1" x14ac:dyDescent="0.45">
      <c r="A731" s="251" t="s">
        <v>2114</v>
      </c>
      <c r="B731" s="252" t="s">
        <v>2115</v>
      </c>
      <c r="C731" s="140">
        <v>6.0847587772000002</v>
      </c>
      <c r="D731" s="248">
        <f t="shared" si="22"/>
        <v>6.0847587772E-2</v>
      </c>
      <c r="E731" s="69">
        <f t="shared" ca="1" si="23"/>
        <v>1.8262579154379435</v>
      </c>
      <c r="F731" s="249" t="s">
        <v>38</v>
      </c>
      <c r="G731" s="220"/>
      <c r="H731" s="220"/>
      <c r="I731" s="220"/>
      <c r="J731" s="251"/>
      <c r="K731" s="254"/>
      <c r="L731" s="220"/>
      <c r="M731" s="220"/>
      <c r="N731" s="220"/>
      <c r="O731" s="220"/>
      <c r="P731" s="220"/>
      <c r="Q731" s="220"/>
      <c r="AB731" s="14" t="s">
        <v>2116</v>
      </c>
    </row>
    <row r="732" spans="1:28" ht="30" customHeight="1" x14ac:dyDescent="0.45">
      <c r="A732" s="245" t="s">
        <v>2114</v>
      </c>
      <c r="B732" s="246" t="s">
        <v>2115</v>
      </c>
      <c r="C732" s="247">
        <v>0.43528499999999998</v>
      </c>
      <c r="D732" s="248">
        <f t="shared" si="22"/>
        <v>4.3528500000000001E-3</v>
      </c>
      <c r="E732" s="69">
        <f t="shared" ca="1" si="23"/>
        <v>0.1747907608496691</v>
      </c>
      <c r="F732" s="249" t="s">
        <v>37</v>
      </c>
      <c r="G732" s="220"/>
      <c r="H732" s="220"/>
      <c r="I732" s="220"/>
      <c r="J732" s="251"/>
      <c r="K732" s="254"/>
      <c r="L732" s="220"/>
      <c r="M732" s="220"/>
      <c r="N732" s="220"/>
      <c r="O732" s="220"/>
      <c r="P732" s="220"/>
      <c r="Q732" s="220"/>
      <c r="AB732" s="14" t="s">
        <v>2117</v>
      </c>
    </row>
    <row r="733" spans="1:28" ht="30" customHeight="1" x14ac:dyDescent="0.45">
      <c r="A733" s="251" t="s">
        <v>2118</v>
      </c>
      <c r="B733" s="252" t="s">
        <v>2119</v>
      </c>
      <c r="C733" s="140">
        <v>4.1651983599999998E-2</v>
      </c>
      <c r="D733" s="248">
        <f t="shared" si="22"/>
        <v>4.1651983599999998E-4</v>
      </c>
      <c r="E733" s="69">
        <f t="shared" ca="1" si="23"/>
        <v>1.2425152986214218E-2</v>
      </c>
      <c r="F733" s="249" t="s">
        <v>39</v>
      </c>
      <c r="G733" s="220"/>
      <c r="H733" s="220"/>
      <c r="I733" s="220"/>
      <c r="J733" s="251"/>
      <c r="K733" s="254"/>
      <c r="L733" s="220"/>
      <c r="M733" s="220"/>
      <c r="N733" s="220"/>
      <c r="O733" s="220"/>
      <c r="P733" s="220"/>
      <c r="Q733" s="220"/>
      <c r="AB733" s="14" t="s">
        <v>2120</v>
      </c>
    </row>
    <row r="734" spans="1:28" ht="30" customHeight="1" x14ac:dyDescent="0.45">
      <c r="A734" s="245" t="s">
        <v>2121</v>
      </c>
      <c r="B734" s="246" t="s">
        <v>2122</v>
      </c>
      <c r="C734" s="247">
        <v>2.4912E-2</v>
      </c>
      <c r="D734" s="248">
        <f t="shared" si="22"/>
        <v>2.4912000000000003E-4</v>
      </c>
      <c r="E734" s="69">
        <f t="shared" ca="1" si="23"/>
        <v>1.0003532017613649E-2</v>
      </c>
      <c r="F734" s="249" t="s">
        <v>37</v>
      </c>
      <c r="G734" s="220"/>
      <c r="H734" s="220"/>
      <c r="I734" s="220"/>
      <c r="J734" s="251"/>
      <c r="K734" s="254"/>
      <c r="L734" s="220"/>
      <c r="M734" s="220"/>
      <c r="N734" s="220"/>
      <c r="O734" s="220"/>
      <c r="P734" s="220"/>
      <c r="Q734" s="220"/>
      <c r="AB734" s="14" t="s">
        <v>2123</v>
      </c>
    </row>
    <row r="735" spans="1:28" ht="30" customHeight="1" x14ac:dyDescent="0.45">
      <c r="A735" s="251" t="s">
        <v>2124</v>
      </c>
      <c r="B735" s="252" t="s">
        <v>2125</v>
      </c>
      <c r="C735" s="140">
        <v>4.4933754800000003E-2</v>
      </c>
      <c r="D735" s="248">
        <f t="shared" si="22"/>
        <v>4.4933754800000004E-4</v>
      </c>
      <c r="E735" s="69">
        <f t="shared" ca="1" si="23"/>
        <v>1.3404134194344528E-2</v>
      </c>
      <c r="F735" s="249" t="s">
        <v>39</v>
      </c>
      <c r="G735" s="220"/>
      <c r="H735" s="220"/>
      <c r="I735" s="220"/>
      <c r="J735" s="251"/>
      <c r="K735" s="254"/>
      <c r="L735" s="220"/>
      <c r="M735" s="220"/>
      <c r="N735" s="220"/>
      <c r="O735" s="220"/>
      <c r="P735" s="220"/>
      <c r="Q735" s="220"/>
      <c r="AB735" s="14" t="s">
        <v>2126</v>
      </c>
    </row>
    <row r="736" spans="1:28" ht="30" customHeight="1" x14ac:dyDescent="0.45">
      <c r="A736" s="245" t="s">
        <v>2124</v>
      </c>
      <c r="B736" s="246" t="s">
        <v>2125</v>
      </c>
      <c r="C736" s="247">
        <v>2.0135E-2</v>
      </c>
      <c r="D736" s="248">
        <f t="shared" si="22"/>
        <v>2.0134999999999999E-4</v>
      </c>
      <c r="E736" s="69">
        <f t="shared" ca="1" si="23"/>
        <v>8.0853049604468052E-3</v>
      </c>
      <c r="F736" s="249" t="s">
        <v>37</v>
      </c>
      <c r="G736" s="220"/>
      <c r="H736" s="220"/>
      <c r="I736" s="220"/>
      <c r="J736" s="251"/>
      <c r="K736" s="254"/>
      <c r="L736" s="220"/>
      <c r="M736" s="220"/>
      <c r="N736" s="220"/>
      <c r="O736" s="220"/>
      <c r="P736" s="220"/>
      <c r="Q736" s="220"/>
      <c r="AB736" s="14" t="s">
        <v>2127</v>
      </c>
    </row>
    <row r="737" spans="1:28" ht="30" customHeight="1" x14ac:dyDescent="0.45">
      <c r="A737" s="245" t="s">
        <v>2128</v>
      </c>
      <c r="B737" s="246" t="s">
        <v>2129</v>
      </c>
      <c r="C737" s="247">
        <v>4.8398999999999998E-2</v>
      </c>
      <c r="D737" s="248">
        <f t="shared" si="22"/>
        <v>4.8398999999999995E-4</v>
      </c>
      <c r="E737" s="69">
        <f t="shared" ca="1" si="23"/>
        <v>1.9434848511580081E-2</v>
      </c>
      <c r="F737" s="249" t="s">
        <v>37</v>
      </c>
      <c r="G737" s="220"/>
      <c r="H737" s="220"/>
      <c r="I737" s="220"/>
      <c r="J737" s="251"/>
      <c r="K737" s="254"/>
      <c r="L737" s="220"/>
      <c r="M737" s="220"/>
      <c r="N737" s="220"/>
      <c r="O737" s="220"/>
      <c r="P737" s="220"/>
      <c r="Q737" s="220"/>
      <c r="AB737" s="14" t="s">
        <v>2130</v>
      </c>
    </row>
    <row r="738" spans="1:28" ht="30" customHeight="1" x14ac:dyDescent="0.45">
      <c r="A738" s="251" t="s">
        <v>2131</v>
      </c>
      <c r="B738" s="252" t="s">
        <v>2132</v>
      </c>
      <c r="C738" s="140">
        <v>0.54420998860000003</v>
      </c>
      <c r="D738" s="248">
        <f t="shared" si="22"/>
        <v>5.4420998860000005E-3</v>
      </c>
      <c r="E738" s="69">
        <f t="shared" ca="1" si="23"/>
        <v>0.16234262526169091</v>
      </c>
      <c r="F738" s="249" t="s">
        <v>39</v>
      </c>
      <c r="G738" s="220"/>
      <c r="H738" s="220"/>
      <c r="I738" s="220"/>
      <c r="J738" s="251"/>
      <c r="K738" s="254"/>
      <c r="L738" s="220"/>
      <c r="M738" s="220"/>
      <c r="N738" s="220"/>
      <c r="O738" s="220"/>
      <c r="P738" s="220"/>
      <c r="Q738" s="220"/>
      <c r="AB738" s="14" t="s">
        <v>2133</v>
      </c>
    </row>
    <row r="739" spans="1:28" ht="30" customHeight="1" x14ac:dyDescent="0.45">
      <c r="A739" s="245" t="s">
        <v>2131</v>
      </c>
      <c r="B739" s="246" t="s">
        <v>2132</v>
      </c>
      <c r="C739" s="247">
        <v>0.24080199999999999</v>
      </c>
      <c r="D739" s="248">
        <f t="shared" si="22"/>
        <v>2.4080199999999999E-3</v>
      </c>
      <c r="E739" s="69">
        <f t="shared" ca="1" si="23"/>
        <v>9.6695187737050492E-2</v>
      </c>
      <c r="F739" s="249" t="s">
        <v>37</v>
      </c>
      <c r="G739" s="220"/>
      <c r="H739" s="220"/>
      <c r="I739" s="220"/>
      <c r="J739" s="251"/>
      <c r="K739" s="254"/>
      <c r="L739" s="220"/>
      <c r="M739" s="220"/>
      <c r="N739" s="220"/>
      <c r="O739" s="220"/>
      <c r="P739" s="220"/>
      <c r="Q739" s="220"/>
      <c r="AB739" s="14" t="s">
        <v>2134</v>
      </c>
    </row>
    <row r="740" spans="1:28" ht="30" customHeight="1" x14ac:dyDescent="0.45">
      <c r="A740" s="245" t="s">
        <v>2135</v>
      </c>
      <c r="B740" s="246" t="s">
        <v>2136</v>
      </c>
      <c r="C740" s="247">
        <v>1.7818000000000001E-2</v>
      </c>
      <c r="D740" s="248">
        <f t="shared" si="22"/>
        <v>1.7818000000000001E-4</v>
      </c>
      <c r="E740" s="69">
        <f t="shared" ca="1" si="23"/>
        <v>7.1549025967341043E-3</v>
      </c>
      <c r="F740" s="249" t="s">
        <v>37</v>
      </c>
      <c r="G740" s="220"/>
      <c r="H740" s="220"/>
      <c r="I740" s="220"/>
      <c r="J740" s="251"/>
      <c r="K740" s="254"/>
      <c r="L740" s="220"/>
      <c r="M740" s="220"/>
      <c r="N740" s="220"/>
      <c r="O740" s="220"/>
      <c r="P740" s="220"/>
      <c r="Q740" s="220"/>
      <c r="AB740" s="14" t="s">
        <v>2137</v>
      </c>
    </row>
    <row r="741" spans="1:28" ht="30" customHeight="1" x14ac:dyDescent="0.45">
      <c r="A741" s="245" t="s">
        <v>2138</v>
      </c>
      <c r="B741" s="246" t="s">
        <v>2139</v>
      </c>
      <c r="C741" s="247">
        <v>1.4963000000000001E-2</v>
      </c>
      <c r="D741" s="248">
        <f t="shared" si="22"/>
        <v>1.4963000000000002E-4</v>
      </c>
      <c r="E741" s="69">
        <f t="shared" ca="1" si="23"/>
        <v>6.0084637756724884E-3</v>
      </c>
      <c r="F741" s="249" t="s">
        <v>37</v>
      </c>
      <c r="G741" s="220"/>
      <c r="H741" s="220"/>
      <c r="I741" s="220"/>
      <c r="J741" s="251"/>
      <c r="K741" s="254"/>
      <c r="L741" s="220"/>
      <c r="M741" s="220"/>
      <c r="N741" s="220"/>
      <c r="O741" s="220"/>
      <c r="P741" s="220"/>
      <c r="Q741" s="220"/>
      <c r="AB741" s="14" t="s">
        <v>2140</v>
      </c>
    </row>
    <row r="742" spans="1:28" ht="30" customHeight="1" x14ac:dyDescent="0.45">
      <c r="A742" s="251" t="s">
        <v>2141</v>
      </c>
      <c r="B742" s="252" t="s">
        <v>2142</v>
      </c>
      <c r="C742" s="140">
        <v>7.8786603799999994E-2</v>
      </c>
      <c r="D742" s="248">
        <f t="shared" si="22"/>
        <v>7.8786603799999998E-4</v>
      </c>
      <c r="E742" s="69">
        <f t="shared" ca="1" si="23"/>
        <v>2.3502736745513515E-2</v>
      </c>
      <c r="F742" s="249" t="s">
        <v>39</v>
      </c>
      <c r="G742" s="220"/>
      <c r="H742" s="220"/>
      <c r="I742" s="220"/>
      <c r="J742" s="251"/>
      <c r="K742" s="254"/>
      <c r="L742" s="220"/>
      <c r="M742" s="220"/>
      <c r="N742" s="220"/>
      <c r="O742" s="220"/>
      <c r="P742" s="220"/>
      <c r="Q742" s="220"/>
      <c r="AB742" s="14" t="s">
        <v>2143</v>
      </c>
    </row>
    <row r="743" spans="1:28" ht="30" customHeight="1" x14ac:dyDescent="0.45">
      <c r="A743" s="245" t="s">
        <v>2141</v>
      </c>
      <c r="B743" s="246" t="s">
        <v>2142</v>
      </c>
      <c r="C743" s="247">
        <v>3.4112000000000003E-2</v>
      </c>
      <c r="D743" s="248">
        <f t="shared" si="22"/>
        <v>3.4112000000000004E-4</v>
      </c>
      <c r="E743" s="69">
        <f t="shared" ca="1" si="23"/>
        <v>1.3697835749230764E-2</v>
      </c>
      <c r="F743" s="249" t="s">
        <v>37</v>
      </c>
      <c r="G743" s="220"/>
      <c r="H743" s="220"/>
      <c r="I743" s="220"/>
      <c r="J743" s="251"/>
      <c r="K743" s="254"/>
      <c r="L743" s="220"/>
      <c r="M743" s="220"/>
      <c r="N743" s="220"/>
      <c r="O743" s="220"/>
      <c r="P743" s="220"/>
      <c r="Q743" s="220"/>
      <c r="AB743" s="14" t="s">
        <v>2144</v>
      </c>
    </row>
    <row r="744" spans="1:28" ht="30" customHeight="1" x14ac:dyDescent="0.45">
      <c r="A744" s="251" t="s">
        <v>2145</v>
      </c>
      <c r="B744" s="252" t="s">
        <v>2146</v>
      </c>
      <c r="C744" s="140">
        <v>5.4624691471000002</v>
      </c>
      <c r="D744" s="248">
        <f t="shared" si="22"/>
        <v>5.4624691470999999E-2</v>
      </c>
      <c r="E744" s="69">
        <f t="shared" ca="1" si="23"/>
        <v>1.639486113255173</v>
      </c>
      <c r="F744" s="249" t="s">
        <v>38</v>
      </c>
      <c r="G744" s="220"/>
      <c r="H744" s="220"/>
      <c r="I744" s="220"/>
      <c r="J744" s="251"/>
      <c r="K744" s="254"/>
      <c r="L744" s="220"/>
      <c r="M744" s="220"/>
      <c r="N744" s="220"/>
      <c r="O744" s="220"/>
      <c r="P744" s="220"/>
      <c r="Q744" s="220"/>
      <c r="AB744" s="14" t="s">
        <v>2147</v>
      </c>
    </row>
    <row r="745" spans="1:28" ht="30" customHeight="1" x14ac:dyDescent="0.45">
      <c r="A745" s="251" t="s">
        <v>2145</v>
      </c>
      <c r="B745" s="252" t="s">
        <v>2146</v>
      </c>
      <c r="C745" s="140">
        <v>1.2760897269</v>
      </c>
      <c r="D745" s="248">
        <f t="shared" si="22"/>
        <v>1.2760897269E-2</v>
      </c>
      <c r="E745" s="69">
        <f t="shared" ca="1" si="23"/>
        <v>0.38066878718517549</v>
      </c>
      <c r="F745" s="249" t="s">
        <v>39</v>
      </c>
      <c r="G745" s="220"/>
      <c r="H745" s="220"/>
      <c r="I745" s="220"/>
      <c r="J745" s="251"/>
      <c r="K745" s="254"/>
      <c r="L745" s="220"/>
      <c r="M745" s="220"/>
      <c r="N745" s="220"/>
      <c r="O745" s="220"/>
      <c r="P745" s="220"/>
      <c r="Q745" s="220"/>
      <c r="AB745" s="14" t="s">
        <v>2148</v>
      </c>
    </row>
    <row r="746" spans="1:28" ht="30" customHeight="1" x14ac:dyDescent="0.45">
      <c r="A746" s="245" t="s">
        <v>2145</v>
      </c>
      <c r="B746" s="246" t="s">
        <v>2146</v>
      </c>
      <c r="C746" s="247">
        <v>0.56915099999999996</v>
      </c>
      <c r="D746" s="248">
        <f t="shared" si="22"/>
        <v>5.6915099999999995E-3</v>
      </c>
      <c r="E746" s="69">
        <f t="shared" ca="1" si="23"/>
        <v>0.22854528947321875</v>
      </c>
      <c r="F746" s="249" t="s">
        <v>37</v>
      </c>
      <c r="G746" s="220"/>
      <c r="H746" s="220"/>
      <c r="I746" s="220"/>
      <c r="J746" s="251"/>
      <c r="K746" s="254"/>
      <c r="L746" s="220"/>
      <c r="M746" s="220"/>
      <c r="N746" s="220"/>
      <c r="O746" s="220"/>
      <c r="P746" s="220"/>
      <c r="Q746" s="220"/>
      <c r="AB746" s="14" t="s">
        <v>2149</v>
      </c>
    </row>
    <row r="747" spans="1:28" ht="30" customHeight="1" x14ac:dyDescent="0.45">
      <c r="A747" s="245" t="s">
        <v>2150</v>
      </c>
      <c r="B747" s="246" t="s">
        <v>2151</v>
      </c>
      <c r="C747" s="247">
        <v>0.245974</v>
      </c>
      <c r="D747" s="248">
        <f t="shared" si="22"/>
        <v>2.4597400000000002E-3</v>
      </c>
      <c r="E747" s="69">
        <f t="shared" ca="1" si="23"/>
        <v>9.8772028921824809E-2</v>
      </c>
      <c r="F747" s="249" t="s">
        <v>37</v>
      </c>
      <c r="G747" s="220"/>
      <c r="H747" s="220"/>
      <c r="I747" s="220"/>
      <c r="J747" s="251"/>
      <c r="K747" s="254"/>
      <c r="L747" s="220"/>
      <c r="M747" s="220"/>
      <c r="N747" s="220"/>
      <c r="O747" s="220"/>
      <c r="P747" s="220"/>
      <c r="Q747" s="220"/>
      <c r="AB747" s="14" t="s">
        <v>2152</v>
      </c>
    </row>
    <row r="748" spans="1:28" ht="30" customHeight="1" x14ac:dyDescent="0.45">
      <c r="A748" s="251" t="s">
        <v>2153</v>
      </c>
      <c r="B748" s="252" t="s">
        <v>2154</v>
      </c>
      <c r="C748" s="140">
        <v>1.8701738673999999</v>
      </c>
      <c r="D748" s="248">
        <f t="shared" si="22"/>
        <v>1.8701738674000001E-2</v>
      </c>
      <c r="E748" s="69">
        <f t="shared" ca="1" si="23"/>
        <v>0.56130735065163928</v>
      </c>
      <c r="F748" s="249" t="s">
        <v>38</v>
      </c>
      <c r="G748" s="220"/>
      <c r="H748" s="220"/>
      <c r="I748" s="220"/>
      <c r="J748" s="251"/>
      <c r="K748" s="254"/>
      <c r="L748" s="220"/>
      <c r="M748" s="220"/>
      <c r="N748" s="220"/>
      <c r="O748" s="220"/>
      <c r="P748" s="220"/>
      <c r="Q748" s="220"/>
      <c r="AB748" s="14" t="s">
        <v>2155</v>
      </c>
    </row>
    <row r="749" spans="1:28" ht="30" customHeight="1" x14ac:dyDescent="0.45">
      <c r="A749" s="245" t="s">
        <v>2153</v>
      </c>
      <c r="B749" s="246" t="s">
        <v>2156</v>
      </c>
      <c r="C749" s="247">
        <v>0.113901</v>
      </c>
      <c r="D749" s="248">
        <f t="shared" si="22"/>
        <v>1.13901E-3</v>
      </c>
      <c r="E749" s="69">
        <f t="shared" ca="1" si="23"/>
        <v>4.5737487971187069E-2</v>
      </c>
      <c r="F749" s="249" t="s">
        <v>37</v>
      </c>
      <c r="G749" s="220"/>
      <c r="H749" s="220"/>
      <c r="I749" s="220"/>
      <c r="J749" s="251"/>
      <c r="K749" s="254"/>
      <c r="L749" s="220"/>
      <c r="M749" s="220"/>
      <c r="N749" s="220"/>
      <c r="O749" s="220"/>
      <c r="P749" s="220"/>
      <c r="Q749" s="220"/>
      <c r="AB749" s="14" t="s">
        <v>2157</v>
      </c>
    </row>
    <row r="750" spans="1:28" ht="30" customHeight="1" x14ac:dyDescent="0.45">
      <c r="A750" s="251" t="s">
        <v>2158</v>
      </c>
      <c r="B750" s="252" t="s">
        <v>2159</v>
      </c>
      <c r="C750" s="140">
        <v>0.21712567629999999</v>
      </c>
      <c r="D750" s="248">
        <f t="shared" si="22"/>
        <v>2.1712567629999999E-3</v>
      </c>
      <c r="E750" s="69">
        <f t="shared" ca="1" si="23"/>
        <v>6.4770498595479287E-2</v>
      </c>
      <c r="F750" s="249" t="s">
        <v>39</v>
      </c>
      <c r="G750" s="220"/>
      <c r="H750" s="220"/>
      <c r="I750" s="220"/>
      <c r="J750" s="251"/>
      <c r="K750" s="254"/>
      <c r="L750" s="220"/>
      <c r="M750" s="220"/>
      <c r="N750" s="220"/>
      <c r="O750" s="220"/>
      <c r="P750" s="220"/>
      <c r="Q750" s="220"/>
      <c r="AB750" s="14" t="s">
        <v>2160</v>
      </c>
    </row>
    <row r="751" spans="1:28" ht="30" customHeight="1" x14ac:dyDescent="0.45">
      <c r="A751" s="245" t="s">
        <v>2158</v>
      </c>
      <c r="B751" s="246" t="s">
        <v>2159</v>
      </c>
      <c r="C751" s="247">
        <v>9.2244000000000007E-2</v>
      </c>
      <c r="D751" s="248">
        <f t="shared" si="22"/>
        <v>9.2244000000000007E-4</v>
      </c>
      <c r="E751" s="69">
        <f t="shared" ca="1" si="23"/>
        <v>3.7041016676009696E-2</v>
      </c>
      <c r="F751" s="249" t="s">
        <v>37</v>
      </c>
      <c r="G751" s="220"/>
      <c r="H751" s="220"/>
      <c r="I751" s="220"/>
      <c r="J751" s="251"/>
      <c r="K751" s="254"/>
      <c r="L751" s="220"/>
      <c r="M751" s="220"/>
      <c r="N751" s="220"/>
      <c r="O751" s="220"/>
      <c r="P751" s="220"/>
      <c r="Q751" s="220"/>
      <c r="AB751" s="14" t="s">
        <v>2161</v>
      </c>
    </row>
    <row r="752" spans="1:28" ht="30" customHeight="1" x14ac:dyDescent="0.45">
      <c r="A752" s="245" t="s">
        <v>2162</v>
      </c>
      <c r="B752" s="246" t="s">
        <v>2163</v>
      </c>
      <c r="C752" s="247">
        <v>0.12843599999999999</v>
      </c>
      <c r="D752" s="248">
        <f t="shared" si="22"/>
        <v>1.28436E-3</v>
      </c>
      <c r="E752" s="69">
        <f t="shared" ca="1" si="23"/>
        <v>5.1574086312388669E-2</v>
      </c>
      <c r="F752" s="249" t="s">
        <v>37</v>
      </c>
      <c r="G752" s="220"/>
      <c r="H752" s="220"/>
      <c r="I752" s="220"/>
      <c r="J752" s="251"/>
      <c r="K752" s="254"/>
      <c r="L752" s="220"/>
      <c r="M752" s="220"/>
      <c r="N752" s="220"/>
      <c r="O752" s="220"/>
      <c r="P752" s="220"/>
      <c r="Q752" s="220"/>
      <c r="AB752" s="14" t="s">
        <v>2164</v>
      </c>
    </row>
    <row r="753" spans="1:28" ht="30" customHeight="1" x14ac:dyDescent="0.45">
      <c r="A753" s="251" t="s">
        <v>2165</v>
      </c>
      <c r="B753" s="252" t="s">
        <v>2166</v>
      </c>
      <c r="C753" s="140">
        <v>1.6757784299999998E-2</v>
      </c>
      <c r="D753" s="248">
        <f t="shared" si="22"/>
        <v>1.6757784299999999E-4</v>
      </c>
      <c r="E753" s="69">
        <f t="shared" ca="1" si="23"/>
        <v>5.0296219363291893E-3</v>
      </c>
      <c r="F753" s="249" t="s">
        <v>38</v>
      </c>
      <c r="G753" s="220"/>
      <c r="H753" s="220"/>
      <c r="I753" s="220"/>
      <c r="J753" s="251"/>
      <c r="K753" s="254"/>
      <c r="L753" s="220"/>
      <c r="M753" s="220"/>
      <c r="N753" s="220"/>
      <c r="O753" s="220"/>
      <c r="P753" s="220"/>
      <c r="Q753" s="220"/>
      <c r="AB753" s="14" t="s">
        <v>2167</v>
      </c>
    </row>
    <row r="754" spans="1:28" ht="30" customHeight="1" x14ac:dyDescent="0.45">
      <c r="A754" s="251" t="s">
        <v>2168</v>
      </c>
      <c r="B754" s="252" t="s">
        <v>2169</v>
      </c>
      <c r="C754" s="140">
        <v>1.9174196220999999</v>
      </c>
      <c r="D754" s="248">
        <f t="shared" si="22"/>
        <v>1.9174196221000001E-2</v>
      </c>
      <c r="E754" s="69">
        <f t="shared" ca="1" si="23"/>
        <v>0.57198313463663109</v>
      </c>
      <c r="F754" s="249" t="s">
        <v>39</v>
      </c>
      <c r="G754" s="220"/>
      <c r="H754" s="220"/>
      <c r="I754" s="220"/>
      <c r="J754" s="251"/>
      <c r="K754" s="254"/>
      <c r="L754" s="220"/>
      <c r="M754" s="220"/>
      <c r="N754" s="220"/>
      <c r="O754" s="220"/>
      <c r="P754" s="220"/>
      <c r="Q754" s="220"/>
      <c r="AB754" s="14" t="s">
        <v>2170</v>
      </c>
    </row>
    <row r="755" spans="1:28" ht="30" customHeight="1" x14ac:dyDescent="0.45">
      <c r="A755" s="245" t="s">
        <v>2168</v>
      </c>
      <c r="B755" s="246" t="s">
        <v>2171</v>
      </c>
      <c r="C755" s="247">
        <v>0.84327600000000003</v>
      </c>
      <c r="D755" s="248">
        <f t="shared" si="22"/>
        <v>8.4327600000000009E-3</v>
      </c>
      <c r="E755" s="69">
        <f t="shared" ca="1" si="23"/>
        <v>0.33862148625903854</v>
      </c>
      <c r="F755" s="249" t="s">
        <v>37</v>
      </c>
      <c r="G755" s="220"/>
      <c r="H755" s="220"/>
      <c r="I755" s="220"/>
      <c r="J755" s="251"/>
      <c r="K755" s="254"/>
      <c r="L755" s="220"/>
      <c r="M755" s="220"/>
      <c r="N755" s="220"/>
      <c r="O755" s="220"/>
      <c r="P755" s="220"/>
      <c r="Q755" s="220"/>
      <c r="AB755" s="14" t="s">
        <v>2172</v>
      </c>
    </row>
    <row r="756" spans="1:28" ht="30" customHeight="1" x14ac:dyDescent="0.45">
      <c r="A756" s="251" t="s">
        <v>2173</v>
      </c>
      <c r="B756" s="252" t="s">
        <v>2174</v>
      </c>
      <c r="C756" s="140">
        <v>8.3694077699999994E-2</v>
      </c>
      <c r="D756" s="248">
        <f t="shared" si="22"/>
        <v>8.3694077699999992E-4</v>
      </c>
      <c r="E756" s="69">
        <f t="shared" ca="1" si="23"/>
        <v>2.4966679365123916E-2</v>
      </c>
      <c r="F756" s="249" t="s">
        <v>39</v>
      </c>
      <c r="G756" s="220"/>
      <c r="H756" s="220"/>
      <c r="I756" s="220"/>
      <c r="J756" s="251"/>
      <c r="K756" s="254"/>
      <c r="L756" s="220"/>
      <c r="M756" s="220"/>
      <c r="N756" s="220"/>
      <c r="O756" s="220"/>
      <c r="P756" s="220"/>
      <c r="Q756" s="220"/>
      <c r="AB756" s="14" t="s">
        <v>2175</v>
      </c>
    </row>
    <row r="757" spans="1:28" ht="30" customHeight="1" x14ac:dyDescent="0.45">
      <c r="A757" s="245" t="s">
        <v>2173</v>
      </c>
      <c r="B757" s="246" t="s">
        <v>2174</v>
      </c>
      <c r="C757" s="247">
        <v>3.6836000000000001E-2</v>
      </c>
      <c r="D757" s="248">
        <f t="shared" si="22"/>
        <v>3.6836000000000003E-4</v>
      </c>
      <c r="E757" s="69">
        <f t="shared" ca="1" si="23"/>
        <v>1.4791670897592179E-2</v>
      </c>
      <c r="F757" s="249" t="s">
        <v>37</v>
      </c>
      <c r="G757" s="220"/>
      <c r="H757" s="220"/>
      <c r="I757" s="220"/>
      <c r="J757" s="251"/>
      <c r="K757" s="254"/>
      <c r="L757" s="220"/>
      <c r="M757" s="220"/>
      <c r="N757" s="220"/>
      <c r="O757" s="220"/>
      <c r="P757" s="220"/>
      <c r="Q757" s="220"/>
      <c r="AB757" s="14" t="s">
        <v>2176</v>
      </c>
    </row>
    <row r="758" spans="1:28" ht="30" customHeight="1" x14ac:dyDescent="0.45">
      <c r="A758" s="245" t="s">
        <v>2177</v>
      </c>
      <c r="B758" s="246" t="s">
        <v>2178</v>
      </c>
      <c r="C758" s="247">
        <v>4.8295999999999999E-2</v>
      </c>
      <c r="D758" s="248">
        <f t="shared" si="22"/>
        <v>4.8296E-4</v>
      </c>
      <c r="E758" s="69">
        <f t="shared" ca="1" si="23"/>
        <v>1.9393488371976107E-2</v>
      </c>
      <c r="F758" s="249" t="s">
        <v>37</v>
      </c>
      <c r="G758" s="220"/>
      <c r="H758" s="220"/>
      <c r="I758" s="220"/>
      <c r="J758" s="251"/>
      <c r="K758" s="254"/>
      <c r="L758" s="220"/>
      <c r="M758" s="220"/>
      <c r="N758" s="220"/>
      <c r="O758" s="220"/>
      <c r="P758" s="220"/>
      <c r="Q758" s="220"/>
      <c r="AB758" s="14" t="s">
        <v>2179</v>
      </c>
    </row>
    <row r="759" spans="1:28" ht="30" customHeight="1" x14ac:dyDescent="0.45">
      <c r="A759" s="245" t="s">
        <v>2180</v>
      </c>
      <c r="B759" s="246" t="s">
        <v>2181</v>
      </c>
      <c r="C759" s="247">
        <v>0.116534</v>
      </c>
      <c r="D759" s="248">
        <f t="shared" si="22"/>
        <v>1.16534E-3</v>
      </c>
      <c r="E759" s="69">
        <f t="shared" ca="1" si="23"/>
        <v>4.6794781636985749E-2</v>
      </c>
      <c r="F759" s="249" t="s">
        <v>37</v>
      </c>
      <c r="G759" s="220"/>
      <c r="H759" s="220"/>
      <c r="I759" s="220"/>
      <c r="J759" s="251"/>
      <c r="K759" s="254"/>
      <c r="L759" s="220"/>
      <c r="M759" s="220"/>
      <c r="N759" s="220"/>
      <c r="O759" s="220"/>
      <c r="P759" s="220"/>
      <c r="Q759" s="220"/>
      <c r="AB759" s="14" t="s">
        <v>2182</v>
      </c>
    </row>
    <row r="760" spans="1:28" ht="30" customHeight="1" x14ac:dyDescent="0.45">
      <c r="A760" s="245" t="s">
        <v>2183</v>
      </c>
      <c r="B760" s="246" t="s">
        <v>2184</v>
      </c>
      <c r="C760" s="247">
        <v>3.3376000000000003E-2</v>
      </c>
      <c r="D760" s="248">
        <f t="shared" si="22"/>
        <v>3.3376E-4</v>
      </c>
      <c r="E760" s="69">
        <f t="shared" ca="1" si="23"/>
        <v>1.3402291450701395E-2</v>
      </c>
      <c r="F760" s="249" t="s">
        <v>37</v>
      </c>
      <c r="G760" s="220"/>
      <c r="H760" s="220"/>
      <c r="I760" s="220"/>
      <c r="J760" s="251"/>
      <c r="K760" s="254"/>
      <c r="L760" s="220"/>
      <c r="M760" s="220"/>
      <c r="N760" s="220"/>
      <c r="O760" s="220"/>
      <c r="P760" s="220"/>
      <c r="Q760" s="220"/>
      <c r="AB760" s="14" t="s">
        <v>2185</v>
      </c>
    </row>
    <row r="761" spans="1:28" ht="30" customHeight="1" x14ac:dyDescent="0.45">
      <c r="A761" s="251" t="s">
        <v>2186</v>
      </c>
      <c r="B761" s="252" t="s">
        <v>2187</v>
      </c>
      <c r="C761" s="140">
        <v>0.12845798780000001</v>
      </c>
      <c r="D761" s="248">
        <f t="shared" si="22"/>
        <v>1.2845798780000001E-3</v>
      </c>
      <c r="E761" s="69">
        <f t="shared" ca="1" si="23"/>
        <v>3.8320147391881706E-2</v>
      </c>
      <c r="F761" s="249" t="s">
        <v>39</v>
      </c>
      <c r="G761" s="220"/>
      <c r="H761" s="220"/>
      <c r="I761" s="220"/>
      <c r="J761" s="251"/>
      <c r="K761" s="254"/>
      <c r="L761" s="220"/>
      <c r="M761" s="220"/>
      <c r="N761" s="220"/>
      <c r="O761" s="220"/>
      <c r="P761" s="220"/>
      <c r="Q761" s="220"/>
      <c r="AB761" s="14" t="s">
        <v>2188</v>
      </c>
    </row>
    <row r="762" spans="1:28" ht="30" customHeight="1" x14ac:dyDescent="0.45">
      <c r="A762" s="245" t="s">
        <v>2186</v>
      </c>
      <c r="B762" s="246" t="s">
        <v>2189</v>
      </c>
      <c r="C762" s="247">
        <v>5.6710999999999998E-2</v>
      </c>
      <c r="D762" s="248">
        <f t="shared" si="22"/>
        <v>5.6711000000000001E-4</v>
      </c>
      <c r="E762" s="69">
        <f t="shared" ca="1" si="23"/>
        <v>2.2772571622145455E-2</v>
      </c>
      <c r="F762" s="249" t="s">
        <v>37</v>
      </c>
      <c r="G762" s="220"/>
      <c r="H762" s="220"/>
      <c r="I762" s="220"/>
      <c r="J762" s="251"/>
      <c r="K762" s="254"/>
      <c r="L762" s="220"/>
      <c r="M762" s="220"/>
      <c r="N762" s="220"/>
      <c r="O762" s="220"/>
      <c r="P762" s="220"/>
      <c r="Q762" s="220"/>
      <c r="AB762" s="14" t="s">
        <v>2190</v>
      </c>
    </row>
    <row r="763" spans="1:28" ht="30" customHeight="1" x14ac:dyDescent="0.45">
      <c r="A763" s="245" t="s">
        <v>2191</v>
      </c>
      <c r="B763" s="246" t="s">
        <v>2192</v>
      </c>
      <c r="C763" s="247">
        <v>3.5373000000000002E-2</v>
      </c>
      <c r="D763" s="248">
        <f t="shared" si="22"/>
        <v>3.5373000000000002E-4</v>
      </c>
      <c r="E763" s="69">
        <f t="shared" ca="1" si="23"/>
        <v>1.4204196293314372E-2</v>
      </c>
      <c r="F763" s="249" t="s">
        <v>37</v>
      </c>
      <c r="G763" s="220"/>
      <c r="H763" s="220"/>
      <c r="I763" s="220"/>
      <c r="J763" s="251"/>
      <c r="K763" s="254"/>
      <c r="L763" s="220"/>
      <c r="M763" s="220"/>
      <c r="N763" s="220"/>
      <c r="O763" s="220"/>
      <c r="P763" s="220"/>
      <c r="Q763" s="220"/>
      <c r="AB763" s="14" t="s">
        <v>2193</v>
      </c>
    </row>
    <row r="764" spans="1:28" ht="30" customHeight="1" x14ac:dyDescent="0.45">
      <c r="A764" s="245" t="s">
        <v>2194</v>
      </c>
      <c r="B764" s="246" t="s">
        <v>2195</v>
      </c>
      <c r="C764" s="247">
        <v>3.8337999999999997E-2</v>
      </c>
      <c r="D764" s="248">
        <f t="shared" si="22"/>
        <v>3.8337999999999995E-4</v>
      </c>
      <c r="E764" s="69">
        <f t="shared" ca="1" si="23"/>
        <v>1.5394806137254016E-2</v>
      </c>
      <c r="F764" s="249" t="s">
        <v>37</v>
      </c>
      <c r="G764" s="220"/>
      <c r="H764" s="220"/>
      <c r="I764" s="220"/>
      <c r="J764" s="251"/>
      <c r="K764" s="254"/>
      <c r="L764" s="220"/>
      <c r="M764" s="220"/>
      <c r="N764" s="220"/>
      <c r="O764" s="220"/>
      <c r="P764" s="220"/>
      <c r="Q764" s="220"/>
      <c r="AB764" s="14" t="s">
        <v>2196</v>
      </c>
    </row>
    <row r="765" spans="1:28" ht="30" customHeight="1" x14ac:dyDescent="0.45">
      <c r="A765" s="251" t="s">
        <v>2197</v>
      </c>
      <c r="B765" s="252" t="s">
        <v>2198</v>
      </c>
      <c r="C765" s="140">
        <v>0.50787576749999996</v>
      </c>
      <c r="D765" s="248">
        <f t="shared" si="22"/>
        <v>5.0787576750000001E-3</v>
      </c>
      <c r="E765" s="69">
        <f t="shared" ca="1" si="23"/>
        <v>0.1515038075924543</v>
      </c>
      <c r="F765" s="249" t="s">
        <v>39</v>
      </c>
      <c r="G765" s="220"/>
      <c r="H765" s="220"/>
      <c r="I765" s="220"/>
      <c r="J765" s="251"/>
      <c r="K765" s="254"/>
      <c r="L765" s="220"/>
      <c r="M765" s="220"/>
      <c r="N765" s="220"/>
      <c r="O765" s="220"/>
      <c r="P765" s="220"/>
      <c r="Q765" s="220"/>
      <c r="AB765" s="14" t="s">
        <v>2199</v>
      </c>
    </row>
    <row r="766" spans="1:28" ht="30" customHeight="1" x14ac:dyDescent="0.45">
      <c r="A766" s="245" t="s">
        <v>2197</v>
      </c>
      <c r="B766" s="246" t="s">
        <v>2200</v>
      </c>
      <c r="C766" s="247">
        <v>0.221613</v>
      </c>
      <c r="D766" s="248">
        <f t="shared" si="22"/>
        <v>2.2161300000000002E-3</v>
      </c>
      <c r="E766" s="69">
        <f t="shared" ca="1" si="23"/>
        <v>8.8989753573354757E-2</v>
      </c>
      <c r="F766" s="249" t="s">
        <v>37</v>
      </c>
      <c r="G766" s="220"/>
      <c r="H766" s="220"/>
      <c r="I766" s="220"/>
      <c r="J766" s="251"/>
      <c r="K766" s="254"/>
      <c r="L766" s="220"/>
      <c r="M766" s="220"/>
      <c r="N766" s="220"/>
      <c r="O766" s="220"/>
      <c r="P766" s="220"/>
      <c r="Q766" s="220"/>
      <c r="AB766" s="14" t="s">
        <v>2201</v>
      </c>
    </row>
    <row r="767" spans="1:28" ht="30" customHeight="1" x14ac:dyDescent="0.45">
      <c r="A767" s="251" t="s">
        <v>2202</v>
      </c>
      <c r="B767" s="252" t="s">
        <v>2203</v>
      </c>
      <c r="C767" s="140">
        <v>2.2999309400000001E-2</v>
      </c>
      <c r="D767" s="248">
        <f t="shared" si="22"/>
        <v>2.2999309400000001E-4</v>
      </c>
      <c r="E767" s="69">
        <f t="shared" ca="1" si="23"/>
        <v>6.902931139808389E-3</v>
      </c>
      <c r="F767" s="249" t="s">
        <v>38</v>
      </c>
      <c r="G767" s="220"/>
      <c r="H767" s="220"/>
      <c r="I767" s="220"/>
      <c r="J767" s="251"/>
      <c r="K767" s="254"/>
      <c r="L767" s="220"/>
      <c r="M767" s="220"/>
      <c r="N767" s="220"/>
      <c r="O767" s="220"/>
      <c r="P767" s="220"/>
      <c r="Q767" s="220"/>
      <c r="AB767" s="14" t="s">
        <v>2204</v>
      </c>
    </row>
    <row r="768" spans="1:28" ht="30" customHeight="1" x14ac:dyDescent="0.45">
      <c r="A768" s="251" t="s">
        <v>2205</v>
      </c>
      <c r="B768" s="252" t="s">
        <v>2206</v>
      </c>
      <c r="C768" s="140">
        <v>0.40488771880000002</v>
      </c>
      <c r="D768" s="248">
        <f t="shared" si="22"/>
        <v>4.0488771880000003E-3</v>
      </c>
      <c r="E768" s="69">
        <f t="shared" ca="1" si="23"/>
        <v>0.12078156701111548</v>
      </c>
      <c r="F768" s="249" t="s">
        <v>39</v>
      </c>
      <c r="G768" s="220"/>
      <c r="H768" s="220"/>
      <c r="I768" s="220"/>
      <c r="J768" s="251"/>
      <c r="K768" s="254"/>
      <c r="L768" s="220"/>
      <c r="M768" s="220"/>
      <c r="N768" s="220"/>
      <c r="O768" s="220"/>
      <c r="P768" s="220"/>
      <c r="Q768" s="220"/>
      <c r="AB768" s="14" t="s">
        <v>2207</v>
      </c>
    </row>
    <row r="769" spans="1:28" ht="30" customHeight="1" x14ac:dyDescent="0.45">
      <c r="A769" s="245" t="s">
        <v>2205</v>
      </c>
      <c r="B769" s="246" t="s">
        <v>2206</v>
      </c>
      <c r="C769" s="247">
        <v>0.18024999999999999</v>
      </c>
      <c r="D769" s="248">
        <f t="shared" si="22"/>
        <v>1.8024999999999998E-3</v>
      </c>
      <c r="E769" s="69">
        <f t="shared" ca="1" si="23"/>
        <v>7.2380244306954888E-2</v>
      </c>
      <c r="F769" s="249" t="s">
        <v>37</v>
      </c>
      <c r="G769" s="220"/>
      <c r="H769" s="220"/>
      <c r="I769" s="220"/>
      <c r="J769" s="251"/>
      <c r="K769" s="254"/>
      <c r="L769" s="220"/>
      <c r="M769" s="220"/>
      <c r="N769" s="220"/>
      <c r="O769" s="220"/>
      <c r="P769" s="220"/>
      <c r="Q769" s="220"/>
      <c r="AB769" s="14" t="s">
        <v>2208</v>
      </c>
    </row>
    <row r="770" spans="1:28" ht="30" customHeight="1" x14ac:dyDescent="0.45">
      <c r="A770" s="245" t="s">
        <v>2209</v>
      </c>
      <c r="B770" s="246" t="s">
        <v>2210</v>
      </c>
      <c r="C770" s="247">
        <v>7.1115999999999999E-2</v>
      </c>
      <c r="D770" s="248">
        <f t="shared" si="22"/>
        <v>7.1115999999999996E-4</v>
      </c>
      <c r="E770" s="69">
        <f t="shared" ca="1" si="23"/>
        <v>2.8556967845400297E-2</v>
      </c>
      <c r="F770" s="249" t="s">
        <v>37</v>
      </c>
      <c r="G770" s="220"/>
      <c r="H770" s="220"/>
      <c r="I770" s="220"/>
      <c r="J770" s="251"/>
      <c r="K770" s="254"/>
      <c r="L770" s="220"/>
      <c r="M770" s="220"/>
      <c r="N770" s="220"/>
      <c r="O770" s="220"/>
      <c r="P770" s="220"/>
      <c r="Q770" s="220"/>
      <c r="AB770" s="14" t="s">
        <v>2211</v>
      </c>
    </row>
    <row r="771" spans="1:28" ht="30" customHeight="1" x14ac:dyDescent="0.45">
      <c r="A771" s="245" t="s">
        <v>2212</v>
      </c>
      <c r="B771" s="246" t="s">
        <v>2213</v>
      </c>
      <c r="C771" s="247">
        <v>6.7228999999999997E-2</v>
      </c>
      <c r="D771" s="248">
        <f t="shared" si="22"/>
        <v>6.7228999999999998E-4</v>
      </c>
      <c r="E771" s="69">
        <f t="shared" ca="1" si="23"/>
        <v>2.6996124518792065E-2</v>
      </c>
      <c r="F771" s="249" t="s">
        <v>37</v>
      </c>
      <c r="G771" s="220"/>
      <c r="H771" s="220"/>
      <c r="I771" s="220"/>
      <c r="J771" s="251"/>
      <c r="K771" s="254"/>
      <c r="L771" s="220"/>
      <c r="M771" s="220"/>
      <c r="N771" s="220"/>
      <c r="O771" s="220"/>
      <c r="P771" s="220"/>
      <c r="Q771" s="220"/>
      <c r="AB771" s="14" t="s">
        <v>2214</v>
      </c>
    </row>
    <row r="772" spans="1:28" ht="30" customHeight="1" x14ac:dyDescent="0.45">
      <c r="A772" s="245" t="s">
        <v>2215</v>
      </c>
      <c r="B772" s="246" t="s">
        <v>2216</v>
      </c>
      <c r="C772" s="247">
        <v>3.1301000000000002E-2</v>
      </c>
      <c r="D772" s="248">
        <f t="shared" si="22"/>
        <v>3.1301000000000001E-4</v>
      </c>
      <c r="E772" s="69">
        <f t="shared" ca="1" si="23"/>
        <v>1.2569065337320362E-2</v>
      </c>
      <c r="F772" s="249" t="s">
        <v>37</v>
      </c>
      <c r="G772" s="220"/>
      <c r="H772" s="220"/>
      <c r="I772" s="220"/>
      <c r="J772" s="251"/>
      <c r="K772" s="254"/>
      <c r="L772" s="220"/>
      <c r="M772" s="220"/>
      <c r="N772" s="220"/>
      <c r="O772" s="220"/>
      <c r="P772" s="220"/>
      <c r="Q772" s="220"/>
      <c r="AB772" s="14" t="s">
        <v>2217</v>
      </c>
    </row>
    <row r="773" spans="1:28" ht="30" customHeight="1" x14ac:dyDescent="0.45">
      <c r="A773" s="251" t="s">
        <v>2218</v>
      </c>
      <c r="B773" s="252" t="s">
        <v>2219</v>
      </c>
      <c r="C773" s="140">
        <v>3.6730604022</v>
      </c>
      <c r="D773" s="248">
        <f t="shared" si="22"/>
        <v>3.6730604021999999E-2</v>
      </c>
      <c r="E773" s="69">
        <f t="shared" ca="1" si="23"/>
        <v>1.1024193199793861</v>
      </c>
      <c r="F773" s="249" t="s">
        <v>38</v>
      </c>
      <c r="G773" s="220"/>
      <c r="H773" s="220"/>
      <c r="I773" s="220"/>
      <c r="J773" s="251"/>
      <c r="K773" s="254"/>
      <c r="L773" s="220"/>
      <c r="M773" s="220"/>
      <c r="N773" s="220"/>
      <c r="O773" s="220"/>
      <c r="P773" s="220"/>
      <c r="Q773" s="220"/>
      <c r="AB773" s="14" t="s">
        <v>2220</v>
      </c>
    </row>
    <row r="774" spans="1:28" ht="30" customHeight="1" x14ac:dyDescent="0.45">
      <c r="A774" s="245" t="s">
        <v>2218</v>
      </c>
      <c r="B774" s="246" t="s">
        <v>2219</v>
      </c>
      <c r="C774" s="247">
        <v>0.31180999999999998</v>
      </c>
      <c r="D774" s="248">
        <f t="shared" si="22"/>
        <v>3.1181E-3</v>
      </c>
      <c r="E774" s="69">
        <f t="shared" ca="1" si="23"/>
        <v>0.12520878766907961</v>
      </c>
      <c r="F774" s="249" t="s">
        <v>37</v>
      </c>
      <c r="G774" s="220"/>
      <c r="H774" s="220"/>
      <c r="I774" s="220"/>
      <c r="J774" s="251"/>
      <c r="K774" s="254"/>
      <c r="L774" s="220"/>
      <c r="M774" s="220"/>
      <c r="N774" s="220"/>
      <c r="O774" s="220"/>
      <c r="P774" s="220"/>
      <c r="Q774" s="220"/>
      <c r="AB774" s="14" t="s">
        <v>2221</v>
      </c>
    </row>
    <row r="775" spans="1:28" ht="30" customHeight="1" x14ac:dyDescent="0.45">
      <c r="A775" s="245" t="s">
        <v>2222</v>
      </c>
      <c r="B775" s="246" t="s">
        <v>2223</v>
      </c>
      <c r="C775" s="247">
        <v>7.0824999999999999E-2</v>
      </c>
      <c r="D775" s="248">
        <f t="shared" si="22"/>
        <v>7.0825E-4</v>
      </c>
      <c r="E775" s="69">
        <f t="shared" ca="1" si="23"/>
        <v>2.8440115412150236E-2</v>
      </c>
      <c r="F775" s="249" t="s">
        <v>37</v>
      </c>
      <c r="G775" s="220"/>
      <c r="H775" s="220"/>
      <c r="I775" s="220"/>
      <c r="J775" s="251"/>
      <c r="K775" s="254"/>
      <c r="L775" s="220"/>
      <c r="M775" s="220"/>
      <c r="N775" s="220"/>
      <c r="O775" s="220"/>
      <c r="P775" s="220"/>
      <c r="Q775" s="220"/>
      <c r="AB775" s="14" t="s">
        <v>2224</v>
      </c>
    </row>
    <row r="776" spans="1:28" ht="30" customHeight="1" x14ac:dyDescent="0.45">
      <c r="A776" s="251" t="s">
        <v>2225</v>
      </c>
      <c r="B776" s="252" t="s">
        <v>2226</v>
      </c>
      <c r="C776" s="140">
        <v>0.11564396489999999</v>
      </c>
      <c r="D776" s="248">
        <f t="shared" si="22"/>
        <v>1.156439649E-3</v>
      </c>
      <c r="E776" s="69">
        <f t="shared" ca="1" si="23"/>
        <v>3.4497611677127595E-2</v>
      </c>
      <c r="F776" s="249" t="s">
        <v>39</v>
      </c>
      <c r="G776" s="220"/>
      <c r="H776" s="220"/>
      <c r="I776" s="220"/>
      <c r="J776" s="251"/>
      <c r="K776" s="254"/>
      <c r="L776" s="220"/>
      <c r="M776" s="220"/>
      <c r="N776" s="220"/>
      <c r="O776" s="220"/>
      <c r="P776" s="220"/>
      <c r="Q776" s="220"/>
      <c r="AB776" s="14" t="s">
        <v>2227</v>
      </c>
    </row>
    <row r="777" spans="1:28" ht="30" customHeight="1" x14ac:dyDescent="0.45">
      <c r="A777" s="245" t="s">
        <v>2225</v>
      </c>
      <c r="B777" s="246" t="s">
        <v>2226</v>
      </c>
      <c r="C777" s="247">
        <v>5.1603999999999997E-2</v>
      </c>
      <c r="D777" s="248">
        <f t="shared" si="22"/>
        <v>5.1603999999999994E-4</v>
      </c>
      <c r="E777" s="69">
        <f t="shared" ca="1" si="23"/>
        <v>2.0721831496344521E-2</v>
      </c>
      <c r="F777" s="249" t="s">
        <v>37</v>
      </c>
      <c r="G777" s="220"/>
      <c r="H777" s="220"/>
      <c r="I777" s="220"/>
      <c r="J777" s="251"/>
      <c r="K777" s="254"/>
      <c r="L777" s="220"/>
      <c r="M777" s="220"/>
      <c r="N777" s="220"/>
      <c r="O777" s="220"/>
      <c r="P777" s="220"/>
      <c r="Q777" s="220"/>
      <c r="AB777" s="14" t="s">
        <v>2228</v>
      </c>
    </row>
    <row r="778" spans="1:28" ht="30" customHeight="1" x14ac:dyDescent="0.45">
      <c r="A778" s="245" t="s">
        <v>2229</v>
      </c>
      <c r="B778" s="246" t="s">
        <v>2230</v>
      </c>
      <c r="C778" s="247">
        <v>0.10576199999999999</v>
      </c>
      <c r="D778" s="248">
        <f t="shared" si="22"/>
        <v>1.05762E-3</v>
      </c>
      <c r="E778" s="69">
        <f t="shared" ca="1" si="23"/>
        <v>4.2469233832966226E-2</v>
      </c>
      <c r="F778" s="249" t="s">
        <v>37</v>
      </c>
      <c r="G778" s="220"/>
      <c r="H778" s="220"/>
      <c r="I778" s="220"/>
      <c r="J778" s="251"/>
      <c r="K778" s="254"/>
      <c r="L778" s="220"/>
      <c r="M778" s="220"/>
      <c r="N778" s="220"/>
      <c r="O778" s="220"/>
      <c r="P778" s="220"/>
      <c r="Q778" s="220"/>
      <c r="AB778" s="14" t="s">
        <v>2231</v>
      </c>
    </row>
    <row r="779" spans="1:28" ht="30" customHeight="1" x14ac:dyDescent="0.45">
      <c r="A779" s="251" t="s">
        <v>2232</v>
      </c>
      <c r="B779" s="252" t="s">
        <v>2233</v>
      </c>
      <c r="C779" s="140">
        <v>9.0128109200000001E-2</v>
      </c>
      <c r="D779" s="248">
        <f t="shared" si="22"/>
        <v>9.0128109200000004E-4</v>
      </c>
      <c r="E779" s="69">
        <f t="shared" ca="1" si="23"/>
        <v>2.6886007541024316E-2</v>
      </c>
      <c r="F779" s="249" t="s">
        <v>39</v>
      </c>
      <c r="G779" s="220"/>
      <c r="H779" s="220"/>
      <c r="I779" s="220"/>
      <c r="J779" s="251"/>
      <c r="K779" s="254"/>
      <c r="L779" s="220"/>
      <c r="M779" s="220"/>
      <c r="N779" s="220"/>
      <c r="O779" s="220"/>
      <c r="P779" s="220"/>
      <c r="Q779" s="220"/>
      <c r="AB779" s="14" t="s">
        <v>2234</v>
      </c>
    </row>
    <row r="780" spans="1:28" ht="30" customHeight="1" x14ac:dyDescent="0.45">
      <c r="A780" s="245" t="s">
        <v>2232</v>
      </c>
      <c r="B780" s="246" t="s">
        <v>2233</v>
      </c>
      <c r="C780" s="247">
        <v>3.8927999999999997E-2</v>
      </c>
      <c r="D780" s="248">
        <f t="shared" ref="D780:D810" si="24">C780/100</f>
        <v>3.8927999999999999E-4</v>
      </c>
      <c r="E780" s="69">
        <f t="shared" ref="E780:E810" ca="1" si="25">C780 * VLOOKUP(F780, $A$6:$B$8, 2, FALSE)</f>
        <v>1.5631723441781636E-2</v>
      </c>
      <c r="F780" s="249" t="s">
        <v>37</v>
      </c>
      <c r="G780" s="220"/>
      <c r="H780" s="220"/>
      <c r="I780" s="220"/>
      <c r="J780" s="251"/>
      <c r="K780" s="254"/>
      <c r="L780" s="220"/>
      <c r="M780" s="220"/>
      <c r="N780" s="220"/>
      <c r="O780" s="220"/>
      <c r="P780" s="220"/>
      <c r="Q780" s="220"/>
      <c r="AB780" s="14" t="s">
        <v>2235</v>
      </c>
    </row>
    <row r="781" spans="1:28" ht="30" customHeight="1" x14ac:dyDescent="0.45">
      <c r="A781" s="245" t="s">
        <v>2236</v>
      </c>
      <c r="B781" s="246" t="s">
        <v>2237</v>
      </c>
      <c r="C781" s="247">
        <v>0.26227200000000001</v>
      </c>
      <c r="D781" s="248">
        <f t="shared" si="24"/>
        <v>2.6227200000000003E-3</v>
      </c>
      <c r="E781" s="69">
        <f t="shared" ca="1" si="25"/>
        <v>0.10531656829333522</v>
      </c>
      <c r="F781" s="249" t="s">
        <v>37</v>
      </c>
      <c r="G781" s="220"/>
      <c r="H781" s="220"/>
      <c r="I781" s="220"/>
      <c r="J781" s="251"/>
      <c r="K781" s="254"/>
      <c r="L781" s="220"/>
      <c r="M781" s="220"/>
      <c r="N781" s="220"/>
      <c r="O781" s="220"/>
      <c r="P781" s="220"/>
      <c r="Q781" s="220"/>
      <c r="AB781" s="14" t="s">
        <v>2238</v>
      </c>
    </row>
    <row r="782" spans="1:28" ht="30" customHeight="1" x14ac:dyDescent="0.45">
      <c r="A782" s="245" t="s">
        <v>2239</v>
      </c>
      <c r="B782" s="246" t="s">
        <v>2240</v>
      </c>
      <c r="C782" s="247">
        <v>5.6626000000000003E-2</v>
      </c>
      <c r="D782" s="248">
        <f t="shared" si="24"/>
        <v>5.6626000000000007E-4</v>
      </c>
      <c r="E782" s="69">
        <f t="shared" ca="1" si="25"/>
        <v>2.2738439468103343E-2</v>
      </c>
      <c r="F782" s="249" t="s">
        <v>37</v>
      </c>
      <c r="G782" s="220"/>
      <c r="H782" s="220"/>
      <c r="I782" s="220"/>
      <c r="J782" s="251"/>
      <c r="K782" s="254"/>
      <c r="L782" s="220"/>
      <c r="M782" s="220"/>
      <c r="N782" s="220"/>
      <c r="O782" s="220"/>
      <c r="P782" s="220"/>
      <c r="Q782" s="220"/>
      <c r="AB782" s="14" t="s">
        <v>2241</v>
      </c>
    </row>
    <row r="783" spans="1:28" ht="30" customHeight="1" x14ac:dyDescent="0.45">
      <c r="A783" s="245" t="s">
        <v>2242</v>
      </c>
      <c r="B783" s="246" t="s">
        <v>2243</v>
      </c>
      <c r="C783" s="247">
        <v>0.24048600000000001</v>
      </c>
      <c r="D783" s="248">
        <f t="shared" si="24"/>
        <v>2.40486E-3</v>
      </c>
      <c r="E783" s="69">
        <f t="shared" ca="1" si="25"/>
        <v>9.6568296434964521E-2</v>
      </c>
      <c r="F783" s="249" t="s">
        <v>37</v>
      </c>
      <c r="G783" s="220"/>
      <c r="H783" s="220"/>
      <c r="I783" s="220"/>
      <c r="J783" s="251"/>
      <c r="K783" s="254"/>
      <c r="L783" s="220"/>
      <c r="M783" s="220"/>
      <c r="N783" s="220"/>
      <c r="O783" s="220"/>
      <c r="P783" s="220"/>
      <c r="Q783" s="220"/>
      <c r="AB783" s="14" t="s">
        <v>2244</v>
      </c>
    </row>
    <row r="784" spans="1:28" ht="30" customHeight="1" x14ac:dyDescent="0.45">
      <c r="A784" s="251" t="s">
        <v>2245</v>
      </c>
      <c r="B784" s="252" t="s">
        <v>2246</v>
      </c>
      <c r="C784" s="140">
        <v>3.29012308E-2</v>
      </c>
      <c r="D784" s="248">
        <f t="shared" si="24"/>
        <v>3.2901230800000002E-4</v>
      </c>
      <c r="E784" s="69">
        <f t="shared" ca="1" si="25"/>
        <v>9.8748587045549667E-3</v>
      </c>
      <c r="F784" s="249" t="s">
        <v>38</v>
      </c>
      <c r="G784" s="220"/>
      <c r="H784" s="220"/>
      <c r="I784" s="220"/>
      <c r="J784" s="251"/>
      <c r="K784" s="254"/>
      <c r="L784" s="220"/>
      <c r="M784" s="220"/>
      <c r="N784" s="220"/>
      <c r="O784" s="220"/>
      <c r="P784" s="220"/>
      <c r="Q784" s="220"/>
      <c r="AB784" s="14" t="s">
        <v>2247</v>
      </c>
    </row>
    <row r="785" spans="1:28" ht="30" customHeight="1" x14ac:dyDescent="0.45">
      <c r="A785" s="245" t="s">
        <v>2248</v>
      </c>
      <c r="B785" s="246" t="s">
        <v>2249</v>
      </c>
      <c r="C785" s="247">
        <v>0.35603400000000002</v>
      </c>
      <c r="D785" s="248">
        <f t="shared" si="24"/>
        <v>3.5603400000000004E-3</v>
      </c>
      <c r="E785" s="69">
        <f t="shared" ca="1" si="25"/>
        <v>0.14296714508506173</v>
      </c>
      <c r="F785" s="249" t="s">
        <v>37</v>
      </c>
      <c r="G785" s="220"/>
      <c r="H785" s="220"/>
      <c r="I785" s="220"/>
      <c r="J785" s="251"/>
      <c r="K785" s="254"/>
      <c r="L785" s="220"/>
      <c r="M785" s="220"/>
      <c r="N785" s="220"/>
      <c r="O785" s="220"/>
      <c r="P785" s="220"/>
      <c r="Q785" s="220"/>
      <c r="AB785" s="14" t="s">
        <v>2250</v>
      </c>
    </row>
    <row r="786" spans="1:28" ht="30" customHeight="1" x14ac:dyDescent="0.45">
      <c r="A786" s="251" t="s">
        <v>2251</v>
      </c>
      <c r="B786" s="252" t="s">
        <v>2252</v>
      </c>
      <c r="C786" s="140">
        <v>1.18820083E-2</v>
      </c>
      <c r="D786" s="248">
        <f t="shared" si="24"/>
        <v>1.18820083E-4</v>
      </c>
      <c r="E786" s="69">
        <f t="shared" ca="1" si="25"/>
        <v>3.5445075636437906E-3</v>
      </c>
      <c r="F786" s="249" t="s">
        <v>39</v>
      </c>
      <c r="G786" s="220"/>
      <c r="H786" s="220"/>
      <c r="I786" s="220"/>
      <c r="J786" s="251"/>
      <c r="K786" s="254"/>
      <c r="L786" s="220"/>
      <c r="M786" s="220"/>
      <c r="N786" s="220"/>
      <c r="O786" s="220"/>
      <c r="P786" s="220"/>
      <c r="Q786" s="220"/>
      <c r="AB786" s="14" t="s">
        <v>2253</v>
      </c>
    </row>
    <row r="787" spans="1:28" ht="30" customHeight="1" x14ac:dyDescent="0.45">
      <c r="A787" s="245" t="s">
        <v>2254</v>
      </c>
      <c r="B787" s="246" t="s">
        <v>2255</v>
      </c>
      <c r="C787" s="247">
        <v>0.12568599999999999</v>
      </c>
      <c r="D787" s="248">
        <f t="shared" si="24"/>
        <v>1.2568599999999998E-3</v>
      </c>
      <c r="E787" s="69">
        <f t="shared" ca="1" si="25"/>
        <v>5.0469810740437902E-2</v>
      </c>
      <c r="F787" s="249" t="s">
        <v>37</v>
      </c>
      <c r="G787" s="220"/>
      <c r="H787" s="220"/>
      <c r="I787" s="220"/>
      <c r="J787" s="251"/>
      <c r="K787" s="254"/>
      <c r="L787" s="220"/>
      <c r="M787" s="220"/>
      <c r="N787" s="220"/>
      <c r="O787" s="220"/>
      <c r="P787" s="220"/>
      <c r="Q787" s="220"/>
      <c r="AB787" s="14" t="s">
        <v>2256</v>
      </c>
    </row>
    <row r="788" spans="1:28" ht="30" customHeight="1" x14ac:dyDescent="0.45">
      <c r="A788" s="245" t="s">
        <v>2257</v>
      </c>
      <c r="B788" s="246" t="s">
        <v>2258</v>
      </c>
      <c r="C788" s="247">
        <v>0.14475399999999999</v>
      </c>
      <c r="D788" s="248">
        <f t="shared" si="24"/>
        <v>1.44754E-3</v>
      </c>
      <c r="E788" s="69">
        <f t="shared" ca="1" si="25"/>
        <v>5.8126656778967806E-2</v>
      </c>
      <c r="F788" s="249" t="s">
        <v>37</v>
      </c>
      <c r="G788" s="220"/>
      <c r="H788" s="220"/>
      <c r="I788" s="220"/>
      <c r="J788" s="251"/>
      <c r="K788" s="254"/>
      <c r="L788" s="220"/>
      <c r="M788" s="220"/>
      <c r="N788" s="220"/>
      <c r="O788" s="220"/>
      <c r="P788" s="220"/>
      <c r="Q788" s="220"/>
      <c r="AB788" s="14" t="s">
        <v>2259</v>
      </c>
    </row>
    <row r="789" spans="1:28" ht="30" customHeight="1" x14ac:dyDescent="0.45">
      <c r="A789" s="251" t="s">
        <v>2260</v>
      </c>
      <c r="B789" s="252" t="s">
        <v>2261</v>
      </c>
      <c r="C789" s="140">
        <v>3.5315629600000002E-2</v>
      </c>
      <c r="D789" s="248">
        <f t="shared" si="24"/>
        <v>3.5315629600000004E-4</v>
      </c>
      <c r="E789" s="69">
        <f t="shared" ca="1" si="25"/>
        <v>1.0534962867518156E-2</v>
      </c>
      <c r="F789" s="249" t="s">
        <v>39</v>
      </c>
      <c r="G789" s="220"/>
      <c r="H789" s="220"/>
      <c r="I789" s="220"/>
      <c r="J789" s="251"/>
      <c r="K789" s="254"/>
      <c r="L789" s="220"/>
      <c r="M789" s="220"/>
      <c r="N789" s="220"/>
      <c r="O789" s="220"/>
      <c r="P789" s="220"/>
      <c r="Q789" s="220"/>
      <c r="AB789" s="14" t="s">
        <v>2262</v>
      </c>
    </row>
    <row r="790" spans="1:28" ht="30" customHeight="1" x14ac:dyDescent="0.45">
      <c r="A790" s="245" t="s">
        <v>2263</v>
      </c>
      <c r="B790" s="246" t="s">
        <v>2264</v>
      </c>
      <c r="C790" s="247">
        <v>0.90253300000000003</v>
      </c>
      <c r="D790" s="248">
        <f t="shared" si="24"/>
        <v>9.0253299999999998E-3</v>
      </c>
      <c r="E790" s="69">
        <f t="shared" ca="1" si="25"/>
        <v>0.36241641628343368</v>
      </c>
      <c r="F790" s="249" t="s">
        <v>37</v>
      </c>
      <c r="G790" s="220"/>
      <c r="H790" s="220"/>
      <c r="I790" s="220"/>
      <c r="J790" s="251"/>
      <c r="K790" s="254"/>
      <c r="L790" s="220"/>
      <c r="M790" s="220"/>
      <c r="N790" s="220"/>
      <c r="O790" s="220"/>
      <c r="P790" s="220"/>
      <c r="Q790" s="220"/>
      <c r="AB790" s="14" t="s">
        <v>2265</v>
      </c>
    </row>
    <row r="791" spans="1:28" ht="30" customHeight="1" x14ac:dyDescent="0.45">
      <c r="A791" s="245" t="s">
        <v>2266</v>
      </c>
      <c r="B791" s="246" t="s">
        <v>2267</v>
      </c>
      <c r="C791" s="247">
        <v>3.0436999999999999E-2</v>
      </c>
      <c r="D791" s="248">
        <f t="shared" si="24"/>
        <v>3.0436999999999999E-4</v>
      </c>
      <c r="E791" s="69">
        <f t="shared" ca="1" si="25"/>
        <v>1.22221220303511E-2</v>
      </c>
      <c r="F791" s="249" t="s">
        <v>37</v>
      </c>
      <c r="G791" s="220"/>
      <c r="H791" s="220"/>
      <c r="I791" s="220"/>
      <c r="J791" s="251"/>
      <c r="K791" s="254"/>
      <c r="L791" s="220"/>
      <c r="M791" s="220"/>
      <c r="N791" s="220"/>
      <c r="O791" s="220"/>
      <c r="P791" s="220"/>
      <c r="Q791" s="220"/>
      <c r="AB791" s="14" t="s">
        <v>2268</v>
      </c>
    </row>
    <row r="792" spans="1:28" ht="30" customHeight="1" x14ac:dyDescent="0.45">
      <c r="A792" s="245" t="s">
        <v>2269</v>
      </c>
      <c r="B792" s="246" t="s">
        <v>2270</v>
      </c>
      <c r="C792" s="247">
        <v>3.2064000000000002E-2</v>
      </c>
      <c r="D792" s="248">
        <f t="shared" si="24"/>
        <v>3.2064000000000002E-4</v>
      </c>
      <c r="E792" s="69">
        <f t="shared" ca="1" si="25"/>
        <v>1.2875451614192519E-2</v>
      </c>
      <c r="F792" s="249" t="s">
        <v>37</v>
      </c>
      <c r="G792" s="220"/>
      <c r="H792" s="220"/>
      <c r="I792" s="220"/>
      <c r="J792" s="251"/>
      <c r="K792" s="254"/>
      <c r="L792" s="220"/>
      <c r="M792" s="220"/>
      <c r="N792" s="220"/>
      <c r="O792" s="220"/>
      <c r="P792" s="220"/>
      <c r="Q792" s="220"/>
      <c r="AB792" s="14" t="s">
        <v>2271</v>
      </c>
    </row>
    <row r="793" spans="1:28" ht="30" customHeight="1" x14ac:dyDescent="0.45">
      <c r="A793" s="251" t="s">
        <v>2272</v>
      </c>
      <c r="B793" s="252" t="s">
        <v>2273</v>
      </c>
      <c r="C793" s="140">
        <v>0.3737118955</v>
      </c>
      <c r="D793" s="248">
        <f t="shared" si="24"/>
        <v>3.7371189549999999E-3</v>
      </c>
      <c r="E793" s="69">
        <f t="shared" ca="1" si="25"/>
        <v>0.11216456267872846</v>
      </c>
      <c r="F793" s="249" t="s">
        <v>38</v>
      </c>
      <c r="G793" s="220"/>
      <c r="H793" s="220"/>
      <c r="I793" s="220"/>
      <c r="J793" s="251"/>
      <c r="K793" s="254"/>
      <c r="L793" s="220"/>
      <c r="M793" s="220"/>
      <c r="N793" s="220"/>
      <c r="O793" s="220"/>
      <c r="P793" s="220"/>
      <c r="Q793" s="220"/>
      <c r="AB793" s="14" t="s">
        <v>2274</v>
      </c>
    </row>
    <row r="794" spans="1:28" ht="30" customHeight="1" x14ac:dyDescent="0.45">
      <c r="A794" s="251" t="s">
        <v>2275</v>
      </c>
      <c r="B794" s="252" t="s">
        <v>2276</v>
      </c>
      <c r="C794" s="140">
        <v>7.6181056299999994E-2</v>
      </c>
      <c r="D794" s="248">
        <f t="shared" si="24"/>
        <v>7.6181056299999994E-4</v>
      </c>
      <c r="E794" s="69">
        <f t="shared" ca="1" si="25"/>
        <v>2.2725479013654907E-2</v>
      </c>
      <c r="F794" s="249" t="s">
        <v>39</v>
      </c>
      <c r="G794" s="220"/>
      <c r="H794" s="220"/>
      <c r="I794" s="220"/>
      <c r="J794" s="251"/>
      <c r="K794" s="254"/>
      <c r="L794" s="220"/>
      <c r="M794" s="220"/>
      <c r="N794" s="220"/>
      <c r="O794" s="220"/>
      <c r="P794" s="220"/>
      <c r="Q794" s="220"/>
      <c r="AB794" s="14" t="s">
        <v>2277</v>
      </c>
    </row>
    <row r="795" spans="1:28" ht="30" customHeight="1" x14ac:dyDescent="0.45">
      <c r="A795" s="245" t="s">
        <v>2275</v>
      </c>
      <c r="B795" s="246" t="s">
        <v>2278</v>
      </c>
      <c r="C795" s="247">
        <v>3.4167000000000003E-2</v>
      </c>
      <c r="D795" s="248">
        <f t="shared" si="24"/>
        <v>3.4167000000000003E-4</v>
      </c>
      <c r="E795" s="69">
        <f t="shared" ca="1" si="25"/>
        <v>1.371992126066978E-2</v>
      </c>
      <c r="F795" s="249" t="s">
        <v>37</v>
      </c>
      <c r="G795" s="220"/>
      <c r="H795" s="220"/>
      <c r="I795" s="220"/>
      <c r="J795" s="251"/>
      <c r="K795" s="254"/>
      <c r="L795" s="220"/>
      <c r="M795" s="220"/>
      <c r="N795" s="220"/>
      <c r="O795" s="220"/>
      <c r="P795" s="220"/>
      <c r="Q795" s="220"/>
      <c r="AB795" s="14" t="s">
        <v>2279</v>
      </c>
    </row>
    <row r="796" spans="1:28" ht="30" customHeight="1" x14ac:dyDescent="0.45">
      <c r="A796" s="245" t="s">
        <v>2280</v>
      </c>
      <c r="B796" s="246" t="s">
        <v>2281</v>
      </c>
      <c r="C796" s="247">
        <v>3.6282000000000002E-2</v>
      </c>
      <c r="D796" s="248">
        <f t="shared" si="24"/>
        <v>3.6282000000000003E-4</v>
      </c>
      <c r="E796" s="69">
        <f t="shared" ca="1" si="25"/>
        <v>1.4569209564188279E-2</v>
      </c>
      <c r="F796" s="249" t="s">
        <v>37</v>
      </c>
      <c r="G796" s="220"/>
      <c r="H796" s="220"/>
      <c r="I796" s="220"/>
      <c r="J796" s="251"/>
      <c r="K796" s="254"/>
      <c r="L796" s="220"/>
      <c r="M796" s="220"/>
      <c r="N796" s="220"/>
      <c r="O796" s="220"/>
      <c r="P796" s="220"/>
      <c r="Q796" s="220"/>
      <c r="AB796" s="14" t="s">
        <v>2282</v>
      </c>
    </row>
    <row r="797" spans="1:28" ht="30" customHeight="1" x14ac:dyDescent="0.45">
      <c r="A797" s="251" t="s">
        <v>2283</v>
      </c>
      <c r="B797" s="252" t="s">
        <v>2284</v>
      </c>
      <c r="C797" s="140">
        <v>6.8184571299999996E-2</v>
      </c>
      <c r="D797" s="248">
        <f t="shared" si="24"/>
        <v>6.8184571300000001E-4</v>
      </c>
      <c r="E797" s="69">
        <f t="shared" ca="1" si="25"/>
        <v>2.0464675364611398E-2</v>
      </c>
      <c r="F797" s="249" t="s">
        <v>38</v>
      </c>
      <c r="G797" s="220"/>
      <c r="H797" s="220"/>
      <c r="I797" s="220"/>
      <c r="J797" s="251"/>
      <c r="K797" s="254"/>
      <c r="L797" s="220"/>
      <c r="M797" s="220"/>
      <c r="N797" s="220"/>
      <c r="O797" s="220"/>
      <c r="P797" s="220"/>
      <c r="Q797" s="220"/>
      <c r="AB797" s="14" t="s">
        <v>2285</v>
      </c>
    </row>
    <row r="798" spans="1:28" ht="30" customHeight="1" x14ac:dyDescent="0.45">
      <c r="A798" s="245" t="s">
        <v>2286</v>
      </c>
      <c r="B798" s="246" t="s">
        <v>2287</v>
      </c>
      <c r="C798" s="247">
        <v>2.6002000000000001E-2</v>
      </c>
      <c r="D798" s="248">
        <f t="shared" si="24"/>
        <v>2.6002000000000002E-4</v>
      </c>
      <c r="E798" s="69">
        <f t="shared" ca="1" si="25"/>
        <v>1.044122669885959E-2</v>
      </c>
      <c r="F798" s="249" t="s">
        <v>37</v>
      </c>
      <c r="G798" s="220"/>
      <c r="H798" s="220"/>
      <c r="I798" s="220"/>
      <c r="J798" s="251"/>
      <c r="K798" s="254"/>
      <c r="L798" s="220"/>
      <c r="M798" s="220"/>
      <c r="N798" s="220"/>
      <c r="O798" s="220"/>
      <c r="P798" s="220"/>
      <c r="Q798" s="220"/>
      <c r="AB798" s="14" t="s">
        <v>2288</v>
      </c>
    </row>
    <row r="799" spans="1:28" ht="30" customHeight="1" x14ac:dyDescent="0.45">
      <c r="A799" s="245" t="s">
        <v>2289</v>
      </c>
      <c r="B799" s="246" t="s">
        <v>2290</v>
      </c>
      <c r="C799" s="247">
        <v>1.2827E-2</v>
      </c>
      <c r="D799" s="248">
        <f t="shared" si="24"/>
        <v>1.2826999999999999E-4</v>
      </c>
      <c r="E799" s="69">
        <f t="shared" ca="1" si="25"/>
        <v>5.1507428223318188E-3</v>
      </c>
      <c r="F799" s="249" t="s">
        <v>37</v>
      </c>
      <c r="G799" s="220"/>
      <c r="H799" s="220"/>
      <c r="I799" s="220"/>
      <c r="J799" s="251"/>
      <c r="K799" s="254"/>
      <c r="L799" s="220"/>
      <c r="M799" s="220"/>
      <c r="N799" s="220"/>
      <c r="O799" s="220"/>
      <c r="P799" s="220"/>
      <c r="Q799" s="220"/>
      <c r="AB799" s="14" t="s">
        <v>2291</v>
      </c>
    </row>
    <row r="800" spans="1:28" ht="30" customHeight="1" x14ac:dyDescent="0.45">
      <c r="A800" s="245" t="s">
        <v>2292</v>
      </c>
      <c r="B800" s="246" t="s">
        <v>2293</v>
      </c>
      <c r="C800" s="247">
        <v>7.3948E-2</v>
      </c>
      <c r="D800" s="248">
        <f t="shared" si="24"/>
        <v>7.3948000000000004E-4</v>
      </c>
      <c r="E800" s="69">
        <f t="shared" ca="1" si="25"/>
        <v>2.9694170907132871E-2</v>
      </c>
      <c r="F800" s="249" t="s">
        <v>37</v>
      </c>
      <c r="G800" s="220"/>
      <c r="H800" s="220"/>
      <c r="I800" s="220"/>
      <c r="J800" s="251"/>
      <c r="K800" s="254"/>
      <c r="L800" s="220"/>
      <c r="M800" s="220"/>
      <c r="N800" s="220"/>
      <c r="O800" s="220"/>
      <c r="P800" s="220"/>
      <c r="Q800" s="220"/>
      <c r="AB800" s="14" t="s">
        <v>2294</v>
      </c>
    </row>
    <row r="801" spans="1:28" ht="30" customHeight="1" x14ac:dyDescent="0.45">
      <c r="A801" s="245" t="s">
        <v>2295</v>
      </c>
      <c r="B801" s="246" t="s">
        <v>2296</v>
      </c>
      <c r="C801" s="247">
        <v>0.99195100000000003</v>
      </c>
      <c r="D801" s="248">
        <f t="shared" si="24"/>
        <v>9.9195099999999994E-3</v>
      </c>
      <c r="E801" s="69">
        <f t="shared" ca="1" si="25"/>
        <v>0.3983226392262314</v>
      </c>
      <c r="F801" s="249" t="s">
        <v>37</v>
      </c>
      <c r="G801" s="220"/>
      <c r="H801" s="220"/>
      <c r="I801" s="220"/>
      <c r="J801" s="251"/>
      <c r="K801" s="254"/>
      <c r="L801" s="220"/>
      <c r="M801" s="220"/>
      <c r="N801" s="220"/>
      <c r="O801" s="220"/>
      <c r="P801" s="220"/>
      <c r="Q801" s="220"/>
      <c r="AB801" s="14" t="s">
        <v>2297</v>
      </c>
    </row>
    <row r="802" spans="1:28" ht="30" customHeight="1" x14ac:dyDescent="0.45">
      <c r="A802" s="245" t="s">
        <v>2298</v>
      </c>
      <c r="B802" s="246" t="s">
        <v>2299</v>
      </c>
      <c r="C802" s="247">
        <v>4.1619999999999997E-2</v>
      </c>
      <c r="D802" s="248">
        <f t="shared" si="24"/>
        <v>4.1619999999999998E-4</v>
      </c>
      <c r="E802" s="69">
        <f t="shared" ca="1" si="25"/>
        <v>1.6712708838033077E-2</v>
      </c>
      <c r="F802" s="249" t="s">
        <v>37</v>
      </c>
      <c r="G802" s="220"/>
      <c r="H802" s="220"/>
      <c r="I802" s="220"/>
      <c r="J802" s="251"/>
      <c r="K802" s="254"/>
      <c r="L802" s="220"/>
      <c r="M802" s="220"/>
      <c r="N802" s="220"/>
      <c r="O802" s="220"/>
      <c r="P802" s="220"/>
      <c r="Q802" s="220"/>
      <c r="AB802" s="14" t="s">
        <v>2300</v>
      </c>
    </row>
    <row r="803" spans="1:28" ht="30" customHeight="1" x14ac:dyDescent="0.45">
      <c r="A803" s="251" t="s">
        <v>2301</v>
      </c>
      <c r="B803" s="252" t="s">
        <v>2302</v>
      </c>
      <c r="C803" s="140">
        <v>0.138173828</v>
      </c>
      <c r="D803" s="248">
        <f t="shared" si="24"/>
        <v>1.3817382799999999E-3</v>
      </c>
      <c r="E803" s="69">
        <f t="shared" ca="1" si="25"/>
        <v>4.1218467962492178E-2</v>
      </c>
      <c r="F803" s="249" t="s">
        <v>39</v>
      </c>
      <c r="G803" s="220"/>
      <c r="H803" s="220"/>
      <c r="I803" s="220"/>
      <c r="J803" s="251"/>
      <c r="K803" s="254"/>
      <c r="L803" s="220"/>
      <c r="M803" s="220"/>
      <c r="N803" s="220"/>
      <c r="O803" s="220"/>
      <c r="P803" s="220"/>
      <c r="Q803" s="220"/>
      <c r="AB803" s="14" t="s">
        <v>2303</v>
      </c>
    </row>
    <row r="804" spans="1:28" ht="30" customHeight="1" x14ac:dyDescent="0.45">
      <c r="A804" s="245" t="s">
        <v>2301</v>
      </c>
      <c r="B804" s="246" t="s">
        <v>2304</v>
      </c>
      <c r="C804" s="247">
        <v>5.9761000000000002E-2</v>
      </c>
      <c r="D804" s="248">
        <f t="shared" si="24"/>
        <v>5.9761000000000005E-4</v>
      </c>
      <c r="E804" s="69">
        <f t="shared" ca="1" si="25"/>
        <v>2.399731362012722E-2</v>
      </c>
      <c r="F804" s="249" t="s">
        <v>37</v>
      </c>
      <c r="G804" s="220"/>
      <c r="H804" s="220"/>
      <c r="I804" s="220"/>
      <c r="J804" s="251"/>
      <c r="K804" s="254"/>
      <c r="L804" s="220"/>
      <c r="M804" s="220"/>
      <c r="N804" s="220"/>
      <c r="O804" s="220"/>
      <c r="P804" s="220"/>
      <c r="Q804" s="220"/>
      <c r="AB804" s="14" t="s">
        <v>2305</v>
      </c>
    </row>
    <row r="805" spans="1:28" ht="30" customHeight="1" x14ac:dyDescent="0.45">
      <c r="A805" s="245" t="s">
        <v>2306</v>
      </c>
      <c r="B805" s="246" t="s">
        <v>2307</v>
      </c>
      <c r="C805" s="247">
        <v>6.5085000000000004E-2</v>
      </c>
      <c r="D805" s="248">
        <f t="shared" si="24"/>
        <v>6.5085000000000002E-4</v>
      </c>
      <c r="E805" s="69">
        <f t="shared" ca="1" si="25"/>
        <v>2.6135191127423907E-2</v>
      </c>
      <c r="F805" s="249" t="s">
        <v>37</v>
      </c>
      <c r="G805" s="220"/>
      <c r="H805" s="220"/>
      <c r="I805" s="220"/>
      <c r="J805" s="251"/>
      <c r="K805" s="254"/>
      <c r="L805" s="220"/>
      <c r="M805" s="220"/>
      <c r="N805" s="220"/>
      <c r="O805" s="220"/>
      <c r="P805" s="220"/>
      <c r="Q805" s="220"/>
      <c r="AB805" s="14" t="s">
        <v>2308</v>
      </c>
    </row>
    <row r="806" spans="1:28" ht="30" customHeight="1" x14ac:dyDescent="0.45">
      <c r="A806" s="245" t="s">
        <v>2309</v>
      </c>
      <c r="B806" s="246" t="s">
        <v>2310</v>
      </c>
      <c r="C806" s="247">
        <v>2.5725999999999999E-2</v>
      </c>
      <c r="D806" s="248">
        <f t="shared" si="24"/>
        <v>2.5725999999999999E-4</v>
      </c>
      <c r="E806" s="69">
        <f t="shared" ca="1" si="25"/>
        <v>1.0330397586911075E-2</v>
      </c>
      <c r="F806" s="249" t="s">
        <v>37</v>
      </c>
      <c r="G806" s="220"/>
      <c r="H806" s="220"/>
      <c r="I806" s="220"/>
      <c r="J806" s="251"/>
      <c r="K806" s="254"/>
      <c r="L806" s="220"/>
      <c r="M806" s="220"/>
      <c r="N806" s="220"/>
      <c r="O806" s="220"/>
      <c r="P806" s="220"/>
      <c r="Q806" s="220"/>
      <c r="AB806" s="14" t="s">
        <v>2311</v>
      </c>
    </row>
    <row r="807" spans="1:28" ht="30" customHeight="1" x14ac:dyDescent="0.45">
      <c r="A807" s="245" t="s">
        <v>2312</v>
      </c>
      <c r="B807" s="246" t="s">
        <v>2313</v>
      </c>
      <c r="C807" s="247">
        <v>1.9025E-2</v>
      </c>
      <c r="D807" s="248">
        <f t="shared" si="24"/>
        <v>1.9024999999999999E-4</v>
      </c>
      <c r="E807" s="69">
        <f t="shared" ca="1" si="25"/>
        <v>7.6395791841321319E-3</v>
      </c>
      <c r="F807" s="249" t="s">
        <v>37</v>
      </c>
      <c r="G807" s="220"/>
      <c r="H807" s="220"/>
      <c r="I807" s="220"/>
      <c r="J807" s="251"/>
      <c r="K807" s="254"/>
      <c r="L807" s="220"/>
      <c r="M807" s="220"/>
      <c r="N807" s="220"/>
      <c r="O807" s="220"/>
      <c r="P807" s="220"/>
      <c r="Q807" s="220"/>
      <c r="AB807" s="14" t="s">
        <v>2314</v>
      </c>
    </row>
    <row r="808" spans="1:28" ht="30" customHeight="1" x14ac:dyDescent="0.45">
      <c r="A808" s="251" t="s">
        <v>2315</v>
      </c>
      <c r="B808" s="252" t="s">
        <v>2316</v>
      </c>
      <c r="C808" s="140">
        <v>9.2018955299999997E-2</v>
      </c>
      <c r="D808" s="248">
        <f t="shared" si="24"/>
        <v>9.2018955299999993E-4</v>
      </c>
      <c r="E808" s="69">
        <f t="shared" ca="1" si="25"/>
        <v>2.745006356033684E-2</v>
      </c>
      <c r="F808" s="249" t="s">
        <v>39</v>
      </c>
      <c r="G808" s="220"/>
      <c r="H808" s="220"/>
      <c r="I808" s="220"/>
      <c r="J808" s="251"/>
      <c r="K808" s="254"/>
      <c r="L808" s="220"/>
      <c r="M808" s="220"/>
      <c r="N808" s="220"/>
      <c r="O808" s="220"/>
      <c r="P808" s="220"/>
      <c r="Q808" s="220"/>
      <c r="AB808" s="14" t="s">
        <v>2317</v>
      </c>
    </row>
    <row r="809" spans="1:28" ht="30" customHeight="1" x14ac:dyDescent="0.45">
      <c r="A809" s="251" t="s">
        <v>2318</v>
      </c>
      <c r="B809" s="252" t="s">
        <v>2319</v>
      </c>
      <c r="C809" s="140">
        <v>5.6311371300000003E-2</v>
      </c>
      <c r="D809" s="248">
        <f t="shared" si="24"/>
        <v>5.6311371300000004E-4</v>
      </c>
      <c r="E809" s="69">
        <f t="shared" ca="1" si="25"/>
        <v>1.6798177248538354E-2</v>
      </c>
      <c r="F809" s="249" t="s">
        <v>39</v>
      </c>
      <c r="G809" s="220"/>
      <c r="H809" s="220"/>
      <c r="I809" s="220"/>
      <c r="J809" s="251"/>
      <c r="K809" s="254"/>
      <c r="L809" s="220"/>
      <c r="M809" s="220"/>
      <c r="N809" s="220"/>
      <c r="O809" s="220"/>
      <c r="P809" s="220"/>
      <c r="Q809" s="220"/>
      <c r="AB809" s="14" t="s">
        <v>2320</v>
      </c>
    </row>
    <row r="810" spans="1:28" ht="30" customHeight="1" x14ac:dyDescent="0.45">
      <c r="A810" s="245" t="s">
        <v>2321</v>
      </c>
      <c r="B810" s="246" t="s">
        <v>2322</v>
      </c>
      <c r="C810" s="247">
        <v>4.9106999999999998E-2</v>
      </c>
      <c r="D810" s="248">
        <f t="shared" si="24"/>
        <v>4.9107000000000003E-4</v>
      </c>
      <c r="E810" s="69">
        <f t="shared" ca="1" si="25"/>
        <v>1.9719149277013223E-2</v>
      </c>
      <c r="F810" s="249" t="s">
        <v>37</v>
      </c>
      <c r="G810" s="220"/>
      <c r="H810" s="220"/>
      <c r="I810" s="220"/>
      <c r="J810" s="251"/>
      <c r="K810" s="254"/>
      <c r="L810" s="220"/>
      <c r="M810" s="220"/>
      <c r="N810" s="220"/>
      <c r="O810" s="220"/>
      <c r="P810" s="220"/>
      <c r="Q810" s="220"/>
      <c r="AB810" s="14" t="s">
        <v>2323</v>
      </c>
    </row>
  </sheetData>
  <sheetProtection insertRows="0" deleteRows="0" sort="0" autoFilter="0"/>
  <mergeCells count="7">
    <mergeCell ref="P3:Q3"/>
    <mergeCell ref="A10:F10"/>
    <mergeCell ref="J10:K10"/>
    <mergeCell ref="A4:B4"/>
    <mergeCell ref="M3:N3"/>
    <mergeCell ref="M6:N6"/>
    <mergeCell ref="M7:N7"/>
  </mergeCells>
  <phoneticPr fontId="6" type="noConversion"/>
  <conditionalFormatting sqref="N5">
    <cfRule type="containsText" dxfId="4" priority="1" operator="containsText" text="Diversificado">
      <formula>NOT(ISERROR(SEARCH("Diversificado",N5)))</formula>
    </cfRule>
  </conditionalFormatting>
  <hyperlinks>
    <hyperlink ref="A1:L1" location="'🏠 Inicio'!A1" display="🏠 Inicio" xr:uid="{F8B4B3DF-6904-4EFB-B99B-40E70969AEC9}"/>
    <hyperlink ref="E1" location="'Base de Datos'!A1" display="🗃️ Base de Datos" xr:uid="{2FE52C27-30C4-4572-9604-336423B45C02}"/>
    <hyperlink ref="F1" location="'Graficos Dashboard'!A1" display="📊 Gráficos" xr:uid="{9E27BB73-4FAB-40ED-8E52-A9B09D35C0D7}"/>
    <hyperlink ref="D1" location="Historial!A1" display="📉 Historial" xr:uid="{04716DA1-6D9B-40D7-B4F2-760FA17BF601}"/>
    <hyperlink ref="C1" location="Dashboard!A1" display="📊 Dashboard" xr:uid="{D92ACCB1-7597-4B94-B9C0-B8A95D254639}"/>
    <hyperlink ref="B1" location="Portafolio!A1" display="📈 Portafolio" xr:uid="{1D9CF287-82F6-43F8-9504-0F5F60F5ED16}"/>
  </hyperlinks>
  <pageMargins left="0.7" right="0.7" top="0.75" bottom="0.75" header="0.3" footer="0.3"/>
  <pageSetup scale="55" orientation="landscape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5CA0-5E91-4A33-995D-1A71657999D2}">
  <dimension ref="A1:K52"/>
  <sheetViews>
    <sheetView showGridLines="0" workbookViewId="0">
      <selection activeCell="B1" sqref="B1"/>
    </sheetView>
  </sheetViews>
  <sheetFormatPr baseColWidth="10" defaultColWidth="10.7265625" defaultRowHeight="14.5" x14ac:dyDescent="0.35"/>
  <cols>
    <col min="1" max="1" width="19" customWidth="1"/>
    <col min="2" max="2" width="24.7265625" customWidth="1"/>
    <col min="3" max="3" width="22.81640625" customWidth="1"/>
    <col min="4" max="4" width="19" customWidth="1"/>
    <col min="5" max="6" width="21.81640625" customWidth="1"/>
    <col min="7" max="7" width="17.1796875" customWidth="1"/>
    <col min="9" max="9" width="32.26953125" customWidth="1"/>
    <col min="10" max="10" width="22.81640625" customWidth="1"/>
  </cols>
  <sheetData>
    <row r="1" spans="1:11" ht="24" customHeight="1" x14ac:dyDescent="0.35">
      <c r="A1" s="91" t="s">
        <v>15</v>
      </c>
      <c r="B1" s="93" t="s">
        <v>16</v>
      </c>
      <c r="C1" s="93" t="s">
        <v>17</v>
      </c>
      <c r="D1" s="93" t="s">
        <v>18</v>
      </c>
      <c r="E1" s="93" t="s">
        <v>19</v>
      </c>
      <c r="F1" s="93" t="s">
        <v>20</v>
      </c>
      <c r="G1" s="93" t="s">
        <v>21</v>
      </c>
      <c r="H1" s="275"/>
      <c r="I1" s="275"/>
      <c r="J1" s="275"/>
      <c r="K1" t="s">
        <v>4</v>
      </c>
    </row>
    <row r="2" spans="1:11" ht="15" x14ac:dyDescent="0.4">
      <c r="A2" s="102"/>
      <c r="B2" s="102"/>
      <c r="C2" s="102"/>
      <c r="D2" s="102"/>
      <c r="E2" s="102"/>
      <c r="F2" s="102"/>
      <c r="G2" s="102"/>
      <c r="H2" s="275"/>
      <c r="I2" s="275"/>
      <c r="J2" s="275"/>
    </row>
    <row r="3" spans="1:11" ht="35.15" customHeight="1" x14ac:dyDescent="0.55000000000000004">
      <c r="A3" s="291" t="s">
        <v>2324</v>
      </c>
      <c r="B3" s="292"/>
      <c r="C3" s="292"/>
      <c r="D3" s="292"/>
      <c r="E3" s="292"/>
      <c r="F3" s="292"/>
      <c r="G3" s="292"/>
      <c r="H3" s="71"/>
      <c r="I3" s="71"/>
      <c r="J3" s="71"/>
      <c r="K3" t="s">
        <v>2325</v>
      </c>
    </row>
    <row r="4" spans="1:11" ht="20" x14ac:dyDescent="0.55000000000000004">
      <c r="A4" s="321" t="s">
        <v>2326</v>
      </c>
      <c r="B4" s="321"/>
      <c r="C4" s="321"/>
      <c r="D4" s="321"/>
      <c r="E4" s="321"/>
      <c r="F4" s="321"/>
      <c r="G4" s="321"/>
      <c r="H4" s="71"/>
      <c r="I4" s="71"/>
      <c r="J4" s="71"/>
      <c r="K4" t="s">
        <v>2327</v>
      </c>
    </row>
    <row r="5" spans="1:11" ht="16.5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</row>
    <row r="6" spans="1:11" ht="25" customHeight="1" x14ac:dyDescent="0.55000000000000004">
      <c r="A6" s="122" t="s">
        <v>2328</v>
      </c>
      <c r="B6" s="123" t="s">
        <v>2329</v>
      </c>
      <c r="C6" s="123" t="s">
        <v>9</v>
      </c>
      <c r="D6" s="123" t="s">
        <v>67</v>
      </c>
      <c r="E6" s="123" t="s">
        <v>13</v>
      </c>
      <c r="F6" s="123" t="s">
        <v>2330</v>
      </c>
      <c r="G6" s="124" t="s">
        <v>2331</v>
      </c>
      <c r="H6" s="71"/>
      <c r="I6" s="291" t="s">
        <v>2332</v>
      </c>
      <c r="J6" s="292"/>
      <c r="K6" t="s">
        <v>2333</v>
      </c>
    </row>
    <row r="7" spans="1:11" ht="16.5" x14ac:dyDescent="0.45">
      <c r="A7" s="40">
        <f ca="1">TODAY()</f>
        <v>46177</v>
      </c>
      <c r="B7" s="42">
        <f ca="1">Portafolio!E9</f>
        <v>555.31734004863006</v>
      </c>
      <c r="C7" s="42">
        <f>Portafolio!F9</f>
        <v>510.67944870728002</v>
      </c>
      <c r="D7" s="125">
        <f ca="1">B7-C7</f>
        <v>44.637891341350041</v>
      </c>
      <c r="E7" s="126">
        <f ca="1">IF(C7&gt;0,(B7-C7)/C7,0)</f>
        <v>8.7408826523850097E-2</v>
      </c>
      <c r="F7" s="41">
        <f ca="1">'Base de Datos'!T8</f>
        <v>0.10820147254709674</v>
      </c>
      <c r="G7" s="127">
        <f ca="1">E7-F7</f>
        <v>-2.0792646023246639E-2</v>
      </c>
      <c r="H7" s="71"/>
      <c r="I7" s="128" t="s">
        <v>2334</v>
      </c>
      <c r="J7" s="71"/>
      <c r="K7" t="s">
        <v>2335</v>
      </c>
    </row>
    <row r="8" spans="1:11" ht="16.5" x14ac:dyDescent="0.45">
      <c r="A8" s="40"/>
      <c r="B8" s="42"/>
      <c r="C8" s="42"/>
      <c r="D8" s="125" t="str">
        <f t="shared" ref="D8:D32" si="0">IF(B8="","",B8-C8)</f>
        <v/>
      </c>
      <c r="E8" s="126" t="str">
        <f t="shared" ref="E8:E32" si="1">IF(C8="","",IF(C8&gt;0,(B8-C8)/C8,0))</f>
        <v/>
      </c>
      <c r="F8" s="41"/>
      <c r="G8" s="127" t="str">
        <f t="shared" ref="G8:G32" si="2">IF(E8="","",E8-F8)</f>
        <v/>
      </c>
      <c r="H8" s="71"/>
      <c r="I8" s="128" t="s">
        <v>2336</v>
      </c>
      <c r="J8" s="71"/>
      <c r="K8" t="s">
        <v>2337</v>
      </c>
    </row>
    <row r="9" spans="1:11" ht="16.5" x14ac:dyDescent="0.45">
      <c r="A9" s="40"/>
      <c r="B9" s="42"/>
      <c r="C9" s="42"/>
      <c r="D9" s="125" t="str">
        <f t="shared" si="0"/>
        <v/>
      </c>
      <c r="E9" s="126" t="str">
        <f t="shared" si="1"/>
        <v/>
      </c>
      <c r="F9" s="41"/>
      <c r="G9" s="127" t="str">
        <f t="shared" si="2"/>
        <v/>
      </c>
      <c r="H9" s="71"/>
      <c r="I9" s="128" t="s">
        <v>2338</v>
      </c>
      <c r="J9" s="71"/>
      <c r="K9" t="s">
        <v>2339</v>
      </c>
    </row>
    <row r="10" spans="1:11" ht="16.5" x14ac:dyDescent="0.45">
      <c r="A10" s="40"/>
      <c r="B10" s="42"/>
      <c r="C10" s="42"/>
      <c r="D10" s="125" t="str">
        <f t="shared" si="0"/>
        <v/>
      </c>
      <c r="E10" s="126" t="str">
        <f t="shared" si="1"/>
        <v/>
      </c>
      <c r="F10" s="41"/>
      <c r="G10" s="127" t="str">
        <f t="shared" si="2"/>
        <v/>
      </c>
      <c r="H10" s="71"/>
      <c r="I10" s="128" t="s">
        <v>2340</v>
      </c>
      <c r="J10" s="71"/>
      <c r="K10" t="s">
        <v>2341</v>
      </c>
    </row>
    <row r="11" spans="1:11" ht="16.5" x14ac:dyDescent="0.45">
      <c r="A11" s="40"/>
      <c r="B11" s="42"/>
      <c r="C11" s="42"/>
      <c r="D11" s="125" t="str">
        <f t="shared" si="0"/>
        <v/>
      </c>
      <c r="E11" s="126" t="str">
        <f t="shared" si="1"/>
        <v/>
      </c>
      <c r="F11" s="41"/>
      <c r="G11" s="127" t="str">
        <f t="shared" si="2"/>
        <v/>
      </c>
      <c r="H11" s="71"/>
      <c r="I11" s="128" t="s">
        <v>2342</v>
      </c>
      <c r="J11" s="71"/>
      <c r="K11" t="s">
        <v>2343</v>
      </c>
    </row>
    <row r="12" spans="1:11" ht="16.5" x14ac:dyDescent="0.45">
      <c r="A12" s="40"/>
      <c r="B12" s="42"/>
      <c r="C12" s="42"/>
      <c r="D12" s="125" t="str">
        <f t="shared" si="0"/>
        <v/>
      </c>
      <c r="E12" s="126" t="str">
        <f t="shared" si="1"/>
        <v/>
      </c>
      <c r="F12" s="41"/>
      <c r="G12" s="127" t="str">
        <f t="shared" si="2"/>
        <v/>
      </c>
      <c r="H12" s="71"/>
      <c r="I12" s="71"/>
      <c r="J12" s="71"/>
    </row>
    <row r="13" spans="1:11" ht="20" x14ac:dyDescent="0.55000000000000004">
      <c r="A13" s="40"/>
      <c r="B13" s="42"/>
      <c r="C13" s="42"/>
      <c r="D13" s="125" t="str">
        <f t="shared" si="0"/>
        <v/>
      </c>
      <c r="E13" s="126" t="str">
        <f t="shared" si="1"/>
        <v/>
      </c>
      <c r="F13" s="41"/>
      <c r="G13" s="127" t="str">
        <f t="shared" si="2"/>
        <v/>
      </c>
      <c r="H13" s="71"/>
      <c r="I13" s="322" t="s">
        <v>2344</v>
      </c>
      <c r="J13" s="323"/>
      <c r="K13" t="s">
        <v>2345</v>
      </c>
    </row>
    <row r="14" spans="1:11" ht="16.5" x14ac:dyDescent="0.45">
      <c r="A14" s="40"/>
      <c r="B14" s="42"/>
      <c r="C14" s="42"/>
      <c r="D14" s="125" t="str">
        <f t="shared" si="0"/>
        <v/>
      </c>
      <c r="E14" s="126" t="str">
        <f t="shared" si="1"/>
        <v/>
      </c>
      <c r="F14" s="41"/>
      <c r="G14" s="127" t="str">
        <f t="shared" si="2"/>
        <v/>
      </c>
      <c r="H14" s="71"/>
      <c r="I14" s="129" t="s">
        <v>2346</v>
      </c>
      <c r="J14" s="130">
        <f ca="1">B7</f>
        <v>555.31734004863006</v>
      </c>
      <c r="K14" t="s">
        <v>2347</v>
      </c>
    </row>
    <row r="15" spans="1:11" ht="16.5" x14ac:dyDescent="0.45">
      <c r="A15" s="40"/>
      <c r="B15" s="42"/>
      <c r="C15" s="42"/>
      <c r="D15" s="125" t="str">
        <f t="shared" si="0"/>
        <v/>
      </c>
      <c r="E15" s="126" t="str">
        <f t="shared" si="1"/>
        <v/>
      </c>
      <c r="F15" s="41"/>
      <c r="G15" s="127" t="str">
        <f t="shared" si="2"/>
        <v/>
      </c>
      <c r="H15" s="71"/>
      <c r="I15" s="129" t="s">
        <v>2348</v>
      </c>
      <c r="J15" s="130" cm="1">
        <f t="array" aca="1" ref="J15" ca="1">IFERROR(LOOKUP(2,1/(B7:B32&lt;&gt;""),B7:B32),"")</f>
        <v>555.31734004863006</v>
      </c>
      <c r="K15" t="s">
        <v>2349</v>
      </c>
    </row>
    <row r="16" spans="1:11" ht="16.5" x14ac:dyDescent="0.45">
      <c r="A16" s="40"/>
      <c r="B16" s="42"/>
      <c r="C16" s="42"/>
      <c r="D16" s="125" t="str">
        <f t="shared" si="0"/>
        <v/>
      </c>
      <c r="E16" s="126" t="str">
        <f t="shared" si="1"/>
        <v/>
      </c>
      <c r="F16" s="41"/>
      <c r="G16" s="127" t="str">
        <f t="shared" si="2"/>
        <v/>
      </c>
      <c r="H16" s="71"/>
      <c r="I16" s="129" t="s">
        <v>2350</v>
      </c>
      <c r="J16" s="130">
        <f ca="1">J15-J14</f>
        <v>0</v>
      </c>
      <c r="K16" t="s">
        <v>2351</v>
      </c>
    </row>
    <row r="17" spans="1:11" ht="16.5" x14ac:dyDescent="0.45">
      <c r="A17" s="40"/>
      <c r="B17" s="42"/>
      <c r="C17" s="42"/>
      <c r="D17" s="125" t="str">
        <f t="shared" si="0"/>
        <v/>
      </c>
      <c r="E17" s="126" t="str">
        <f t="shared" si="1"/>
        <v/>
      </c>
      <c r="F17" s="41"/>
      <c r="G17" s="127" t="str">
        <f t="shared" si="2"/>
        <v/>
      </c>
      <c r="H17" s="71"/>
      <c r="I17" s="129" t="s">
        <v>2352</v>
      </c>
      <c r="J17" s="131">
        <f ca="1">IF(J14&gt;0,(J15-J14)/J14,0)</f>
        <v>0</v>
      </c>
      <c r="K17" t="s">
        <v>2353</v>
      </c>
    </row>
    <row r="18" spans="1:11" ht="16.5" x14ac:dyDescent="0.45">
      <c r="A18" s="40"/>
      <c r="B18" s="42"/>
      <c r="C18" s="42"/>
      <c r="D18" s="125" t="str">
        <f t="shared" si="0"/>
        <v/>
      </c>
      <c r="E18" s="126" t="str">
        <f t="shared" si="1"/>
        <v/>
      </c>
      <c r="F18" s="41"/>
      <c r="G18" s="127" t="str">
        <f t="shared" si="2"/>
        <v/>
      </c>
      <c r="H18" s="71"/>
      <c r="I18" s="129" t="s">
        <v>2354</v>
      </c>
      <c r="J18" s="132">
        <f ca="1">COUNT(A7:A32)</f>
        <v>1</v>
      </c>
      <c r="K18" t="s">
        <v>2355</v>
      </c>
    </row>
    <row r="19" spans="1:11" ht="16.5" x14ac:dyDescent="0.45">
      <c r="A19" s="40"/>
      <c r="B19" s="42"/>
      <c r="C19" s="42"/>
      <c r="D19" s="125" t="str">
        <f t="shared" si="0"/>
        <v/>
      </c>
      <c r="E19" s="126" t="str">
        <f t="shared" si="1"/>
        <v/>
      </c>
      <c r="F19" s="41"/>
      <c r="G19" s="127" t="str">
        <f t="shared" si="2"/>
        <v/>
      </c>
      <c r="H19" s="71"/>
      <c r="I19" s="129" t="s">
        <v>2356</v>
      </c>
      <c r="J19" s="133">
        <f ca="1">IF(COUNT(A7:A32)&gt;0,MIN(A7:A32),"")</f>
        <v>46177</v>
      </c>
      <c r="K19" t="s">
        <v>2357</v>
      </c>
    </row>
    <row r="20" spans="1:11" ht="16.5" x14ac:dyDescent="0.45">
      <c r="A20" s="40"/>
      <c r="B20" s="42"/>
      <c r="C20" s="42"/>
      <c r="D20" s="125" t="str">
        <f t="shared" si="0"/>
        <v/>
      </c>
      <c r="E20" s="126" t="str">
        <f t="shared" si="1"/>
        <v/>
      </c>
      <c r="F20" s="41"/>
      <c r="G20" s="127" t="str">
        <f t="shared" si="2"/>
        <v/>
      </c>
      <c r="H20" s="71"/>
      <c r="I20" s="134" t="s">
        <v>2358</v>
      </c>
      <c r="J20" s="135" cm="1">
        <f t="array" aca="1" ref="J20" ca="1">IFERROR(LOOKUP(2,1/(B7:B32&lt;&gt;""),A7:A32),"")</f>
        <v>46177</v>
      </c>
      <c r="K20" t="s">
        <v>2359</v>
      </c>
    </row>
    <row r="21" spans="1:11" ht="16.5" x14ac:dyDescent="0.45">
      <c r="A21" s="40"/>
      <c r="B21" s="42"/>
      <c r="C21" s="42"/>
      <c r="D21" s="125" t="str">
        <f t="shared" si="0"/>
        <v/>
      </c>
      <c r="E21" s="126" t="str">
        <f t="shared" si="1"/>
        <v/>
      </c>
      <c r="F21" s="41"/>
      <c r="G21" s="127" t="str">
        <f t="shared" si="2"/>
        <v/>
      </c>
      <c r="H21" s="71"/>
      <c r="I21" s="71"/>
      <c r="J21" s="71"/>
    </row>
    <row r="22" spans="1:11" ht="16.5" x14ac:dyDescent="0.45">
      <c r="A22" s="40"/>
      <c r="B22" s="42"/>
      <c r="C22" s="42"/>
      <c r="D22" s="125" t="str">
        <f t="shared" si="0"/>
        <v/>
      </c>
      <c r="E22" s="126" t="str">
        <f t="shared" si="1"/>
        <v/>
      </c>
      <c r="F22" s="41"/>
      <c r="G22" s="127" t="str">
        <f t="shared" si="2"/>
        <v/>
      </c>
      <c r="H22" s="71"/>
      <c r="I22" s="71"/>
      <c r="J22" s="71"/>
    </row>
    <row r="23" spans="1:11" ht="16.5" x14ac:dyDescent="0.45">
      <c r="A23" s="40"/>
      <c r="B23" s="42"/>
      <c r="C23" s="42"/>
      <c r="D23" s="125" t="str">
        <f t="shared" si="0"/>
        <v/>
      </c>
      <c r="E23" s="126" t="str">
        <f t="shared" si="1"/>
        <v/>
      </c>
      <c r="F23" s="41"/>
      <c r="G23" s="127" t="str">
        <f t="shared" si="2"/>
        <v/>
      </c>
      <c r="H23" s="71"/>
      <c r="I23" s="71"/>
      <c r="J23" s="71"/>
    </row>
    <row r="24" spans="1:11" ht="16.5" x14ac:dyDescent="0.45">
      <c r="A24" s="40"/>
      <c r="B24" s="42"/>
      <c r="C24" s="42"/>
      <c r="D24" s="125" t="str">
        <f t="shared" si="0"/>
        <v/>
      </c>
      <c r="E24" s="126" t="str">
        <f t="shared" si="1"/>
        <v/>
      </c>
      <c r="F24" s="41"/>
      <c r="G24" s="127" t="str">
        <f t="shared" si="2"/>
        <v/>
      </c>
      <c r="H24" s="71"/>
      <c r="I24" s="71"/>
      <c r="J24" s="71"/>
    </row>
    <row r="25" spans="1:11" ht="16.5" x14ac:dyDescent="0.45">
      <c r="A25" s="40"/>
      <c r="B25" s="42"/>
      <c r="C25" s="42"/>
      <c r="D25" s="125" t="str">
        <f t="shared" si="0"/>
        <v/>
      </c>
      <c r="E25" s="126" t="str">
        <f t="shared" si="1"/>
        <v/>
      </c>
      <c r="F25" s="41"/>
      <c r="G25" s="127" t="str">
        <f t="shared" si="2"/>
        <v/>
      </c>
      <c r="H25" s="71"/>
      <c r="I25" s="71"/>
      <c r="J25" s="71"/>
    </row>
    <row r="26" spans="1:11" ht="16.5" x14ac:dyDescent="0.45">
      <c r="A26" s="40"/>
      <c r="B26" s="42"/>
      <c r="C26" s="42"/>
      <c r="D26" s="125" t="str">
        <f t="shared" si="0"/>
        <v/>
      </c>
      <c r="E26" s="126" t="str">
        <f t="shared" si="1"/>
        <v/>
      </c>
      <c r="F26" s="41"/>
      <c r="G26" s="127" t="str">
        <f t="shared" si="2"/>
        <v/>
      </c>
      <c r="H26" s="71"/>
      <c r="I26" s="71"/>
      <c r="J26" s="71"/>
    </row>
    <row r="27" spans="1:11" ht="16.5" x14ac:dyDescent="0.45">
      <c r="A27" s="40"/>
      <c r="B27" s="42"/>
      <c r="C27" s="42"/>
      <c r="D27" s="125" t="str">
        <f t="shared" si="0"/>
        <v/>
      </c>
      <c r="E27" s="126" t="str">
        <f t="shared" si="1"/>
        <v/>
      </c>
      <c r="F27" s="41"/>
      <c r="G27" s="127" t="str">
        <f t="shared" si="2"/>
        <v/>
      </c>
      <c r="H27" s="71"/>
      <c r="I27" s="71"/>
      <c r="J27" s="71"/>
    </row>
    <row r="28" spans="1:11" ht="16.5" x14ac:dyDescent="0.45">
      <c r="A28" s="40"/>
      <c r="B28" s="42"/>
      <c r="C28" s="42"/>
      <c r="D28" s="125" t="str">
        <f t="shared" si="0"/>
        <v/>
      </c>
      <c r="E28" s="126" t="str">
        <f t="shared" si="1"/>
        <v/>
      </c>
      <c r="F28" s="41"/>
      <c r="G28" s="127" t="str">
        <f t="shared" si="2"/>
        <v/>
      </c>
      <c r="H28" s="71"/>
      <c r="I28" s="71"/>
      <c r="J28" s="71"/>
    </row>
    <row r="29" spans="1:11" ht="16.5" x14ac:dyDescent="0.45">
      <c r="A29" s="40"/>
      <c r="B29" s="42"/>
      <c r="C29" s="42"/>
      <c r="D29" s="125" t="str">
        <f t="shared" si="0"/>
        <v/>
      </c>
      <c r="E29" s="126" t="str">
        <f t="shared" si="1"/>
        <v/>
      </c>
      <c r="F29" s="41"/>
      <c r="G29" s="127" t="str">
        <f t="shared" si="2"/>
        <v/>
      </c>
      <c r="H29" s="71"/>
      <c r="I29" s="71"/>
      <c r="J29" s="71"/>
    </row>
    <row r="30" spans="1:11" ht="16.5" x14ac:dyDescent="0.45">
      <c r="A30" s="40"/>
      <c r="B30" s="42"/>
      <c r="C30" s="42"/>
      <c r="D30" s="125" t="str">
        <f t="shared" si="0"/>
        <v/>
      </c>
      <c r="E30" s="126" t="str">
        <f t="shared" si="1"/>
        <v/>
      </c>
      <c r="F30" s="41"/>
      <c r="G30" s="127" t="str">
        <f t="shared" si="2"/>
        <v/>
      </c>
      <c r="H30" s="71"/>
      <c r="I30" s="71"/>
      <c r="J30" s="71"/>
    </row>
    <row r="31" spans="1:11" ht="16.5" x14ac:dyDescent="0.45">
      <c r="A31" s="40"/>
      <c r="B31" s="42"/>
      <c r="C31" s="42"/>
      <c r="D31" s="125" t="str">
        <f t="shared" si="0"/>
        <v/>
      </c>
      <c r="E31" s="126" t="str">
        <f t="shared" si="1"/>
        <v/>
      </c>
      <c r="F31" s="41"/>
      <c r="G31" s="127" t="str">
        <f t="shared" si="2"/>
        <v/>
      </c>
      <c r="H31" s="71"/>
      <c r="I31" s="71"/>
      <c r="J31" s="71"/>
    </row>
    <row r="32" spans="1:11" ht="16.5" x14ac:dyDescent="0.45">
      <c r="A32" s="43"/>
      <c r="B32" s="44"/>
      <c r="C32" s="44"/>
      <c r="D32" s="136" t="str">
        <f t="shared" si="0"/>
        <v/>
      </c>
      <c r="E32" s="137" t="str">
        <f t="shared" si="1"/>
        <v/>
      </c>
      <c r="F32" s="45"/>
      <c r="G32" s="138" t="str">
        <f t="shared" si="2"/>
        <v/>
      </c>
      <c r="H32" s="71"/>
      <c r="I32" s="71"/>
      <c r="J32" s="71"/>
    </row>
    <row r="33" spans="1:10" ht="16.5" x14ac:dyDescent="0.45">
      <c r="A33" s="71"/>
      <c r="B33" s="71"/>
      <c r="C33" s="71"/>
      <c r="D33" s="71"/>
      <c r="E33" s="71"/>
      <c r="F33" s="71"/>
      <c r="G33" s="71"/>
      <c r="H33" s="71"/>
      <c r="I33" s="71"/>
      <c r="J33" s="71"/>
    </row>
    <row r="34" spans="1:10" ht="16.5" x14ac:dyDescent="0.45">
      <c r="A34" s="71"/>
      <c r="B34" s="71"/>
      <c r="C34" s="71"/>
      <c r="D34" s="71"/>
      <c r="E34" s="71"/>
      <c r="F34" s="71"/>
      <c r="G34" s="71"/>
      <c r="H34" s="71"/>
      <c r="I34" s="71"/>
      <c r="J34" s="71"/>
    </row>
    <row r="35" spans="1:10" ht="16.5" x14ac:dyDescent="0.45">
      <c r="A35" s="71"/>
      <c r="B35" s="71"/>
      <c r="C35" s="71"/>
      <c r="D35" s="71"/>
      <c r="E35" s="71"/>
      <c r="F35" s="71"/>
      <c r="G35" s="71"/>
      <c r="H35" s="71"/>
      <c r="I35" s="71"/>
      <c r="J35" s="71"/>
    </row>
    <row r="36" spans="1:10" ht="16.5" x14ac:dyDescent="0.45">
      <c r="A36" s="71"/>
      <c r="B36" s="71"/>
      <c r="C36" s="71"/>
      <c r="D36" s="71"/>
      <c r="E36" s="71"/>
      <c r="F36" s="71"/>
      <c r="G36" s="71"/>
      <c r="H36" s="71"/>
      <c r="I36" s="71"/>
      <c r="J36" s="71"/>
    </row>
    <row r="37" spans="1:10" ht="16.5" x14ac:dyDescent="0.45">
      <c r="A37" s="71"/>
      <c r="B37" s="71"/>
      <c r="C37" s="71"/>
      <c r="D37" s="71"/>
      <c r="E37" s="71"/>
      <c r="F37" s="71"/>
      <c r="G37" s="71"/>
      <c r="H37" s="71"/>
      <c r="I37" s="71"/>
      <c r="J37" s="71"/>
    </row>
    <row r="38" spans="1:10" ht="16.5" x14ac:dyDescent="0.45">
      <c r="A38" s="71"/>
      <c r="B38" s="71"/>
      <c r="C38" s="71"/>
      <c r="D38" s="71"/>
      <c r="E38" s="71"/>
      <c r="F38" s="71"/>
      <c r="G38" s="71"/>
      <c r="H38" s="71"/>
      <c r="I38" s="71"/>
      <c r="J38" s="71"/>
    </row>
    <row r="39" spans="1:10" ht="16.5" x14ac:dyDescent="0.45">
      <c r="A39" s="71"/>
      <c r="B39" s="71"/>
      <c r="C39" s="71"/>
      <c r="D39" s="71"/>
      <c r="E39" s="71"/>
      <c r="F39" s="71"/>
      <c r="G39" s="71"/>
      <c r="H39" s="71"/>
      <c r="I39" s="71"/>
      <c r="J39" s="71"/>
    </row>
    <row r="40" spans="1:10" ht="16.5" x14ac:dyDescent="0.45">
      <c r="A40" s="71"/>
      <c r="B40" s="71"/>
      <c r="C40" s="71"/>
      <c r="D40" s="71"/>
      <c r="E40" s="71"/>
      <c r="F40" s="71"/>
      <c r="G40" s="71"/>
      <c r="H40" s="71"/>
      <c r="I40" s="71"/>
      <c r="J40" s="71"/>
    </row>
    <row r="41" spans="1:10" ht="16.5" x14ac:dyDescent="0.45">
      <c r="A41" s="71"/>
      <c r="B41" s="71"/>
      <c r="C41" s="71"/>
      <c r="D41" s="71"/>
      <c r="E41" s="71"/>
      <c r="F41" s="71"/>
      <c r="G41" s="71"/>
      <c r="H41" s="71"/>
      <c r="I41" s="71"/>
      <c r="J41" s="71"/>
    </row>
    <row r="42" spans="1:10" ht="16.5" x14ac:dyDescent="0.45">
      <c r="A42" s="71"/>
      <c r="B42" s="71"/>
      <c r="C42" s="71"/>
      <c r="D42" s="71"/>
      <c r="E42" s="71"/>
      <c r="F42" s="71"/>
      <c r="G42" s="71"/>
      <c r="H42" s="71"/>
      <c r="I42" s="71"/>
      <c r="J42" s="71"/>
    </row>
    <row r="43" spans="1:10" ht="16.5" x14ac:dyDescent="0.45">
      <c r="A43" s="71"/>
      <c r="B43" s="71"/>
      <c r="C43" s="71"/>
      <c r="D43" s="71"/>
      <c r="E43" s="71"/>
      <c r="F43" s="71"/>
      <c r="G43" s="71"/>
      <c r="H43" s="71"/>
      <c r="I43" s="71"/>
      <c r="J43" s="71"/>
    </row>
    <row r="44" spans="1:10" ht="16.5" x14ac:dyDescent="0.45">
      <c r="A44" s="71"/>
      <c r="B44" s="71"/>
      <c r="C44" s="71"/>
      <c r="D44" s="71"/>
      <c r="E44" s="71"/>
      <c r="F44" s="71"/>
      <c r="G44" s="71"/>
      <c r="H44" s="71"/>
      <c r="I44" s="71"/>
      <c r="J44" s="71"/>
    </row>
    <row r="45" spans="1:10" ht="16.5" x14ac:dyDescent="0.45">
      <c r="A45" s="71"/>
      <c r="B45" s="71"/>
      <c r="C45" s="71"/>
      <c r="D45" s="71"/>
      <c r="E45" s="71"/>
      <c r="F45" s="71"/>
      <c r="G45" s="71"/>
      <c r="H45" s="71"/>
      <c r="I45" s="71"/>
      <c r="J45" s="71"/>
    </row>
    <row r="46" spans="1:10" ht="16.5" x14ac:dyDescent="0.45">
      <c r="A46" s="71"/>
      <c r="B46" s="71"/>
      <c r="C46" s="71"/>
      <c r="D46" s="71"/>
      <c r="E46" s="71"/>
      <c r="F46" s="71"/>
      <c r="G46" s="71"/>
      <c r="H46" s="71"/>
      <c r="I46" s="71"/>
      <c r="J46" s="71"/>
    </row>
    <row r="47" spans="1:10" ht="16.5" x14ac:dyDescent="0.45">
      <c r="A47" s="71"/>
      <c r="B47" s="71"/>
      <c r="C47" s="71"/>
      <c r="D47" s="71"/>
      <c r="E47" s="71"/>
      <c r="F47" s="71"/>
      <c r="G47" s="71"/>
      <c r="H47" s="71"/>
      <c r="I47" s="71"/>
      <c r="J47" s="71"/>
    </row>
    <row r="48" spans="1:10" ht="16.5" x14ac:dyDescent="0.45">
      <c r="A48" s="71"/>
      <c r="B48" s="71"/>
      <c r="C48" s="71"/>
      <c r="D48" s="71"/>
      <c r="E48" s="71"/>
      <c r="F48" s="71"/>
      <c r="G48" s="71"/>
      <c r="H48" s="71"/>
      <c r="I48" s="71"/>
      <c r="J48" s="71"/>
    </row>
    <row r="49" spans="1:10" ht="16.5" x14ac:dyDescent="0.45">
      <c r="A49" s="71"/>
      <c r="B49" s="71"/>
      <c r="C49" s="71"/>
      <c r="D49" s="71"/>
      <c r="E49" s="71"/>
      <c r="F49" s="71"/>
      <c r="G49" s="71"/>
      <c r="H49" s="71"/>
      <c r="I49" s="71"/>
      <c r="J49" s="71"/>
    </row>
    <row r="50" spans="1:10" ht="16.5" x14ac:dyDescent="0.45">
      <c r="A50" s="71"/>
      <c r="B50" s="71"/>
      <c r="C50" s="71"/>
      <c r="D50" s="71"/>
      <c r="E50" s="71"/>
      <c r="F50" s="71"/>
      <c r="G50" s="71"/>
      <c r="H50" s="71"/>
      <c r="I50" s="71"/>
      <c r="J50" s="71"/>
    </row>
    <row r="51" spans="1:10" ht="16.5" x14ac:dyDescent="0.45">
      <c r="A51" s="71"/>
      <c r="B51" s="71"/>
      <c r="C51" s="71"/>
      <c r="D51" s="71"/>
      <c r="E51" s="71"/>
      <c r="F51" s="71"/>
      <c r="G51" s="71"/>
      <c r="H51" s="71"/>
      <c r="I51" s="71"/>
      <c r="J51" s="71"/>
    </row>
    <row r="52" spans="1:10" ht="16.5" x14ac:dyDescent="0.45">
      <c r="A52" s="71"/>
      <c r="B52" s="71"/>
      <c r="C52" s="71"/>
      <c r="D52" s="71"/>
      <c r="E52" s="71"/>
      <c r="F52" s="71"/>
      <c r="G52" s="71"/>
      <c r="H52" s="71"/>
      <c r="I52" s="71"/>
      <c r="J52" s="71"/>
    </row>
  </sheetData>
  <sheetProtection insertRows="0" deleteRows="0" sort="0" autoFilter="0"/>
  <mergeCells count="4">
    <mergeCell ref="A3:G3"/>
    <mergeCell ref="A4:G4"/>
    <mergeCell ref="I13:J13"/>
    <mergeCell ref="I6:J6"/>
  </mergeCells>
  <conditionalFormatting sqref="D7:E32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G7:G32">
    <cfRule type="cellIs" dxfId="1" priority="5" operator="greaterThan">
      <formula>0</formula>
    </cfRule>
    <cfRule type="cellIs" dxfId="0" priority="6" operator="lessThan">
      <formula>0</formula>
    </cfRule>
  </conditionalFormatting>
  <hyperlinks>
    <hyperlink ref="A1" location="'🏠 Inicio'!A1" display="🏠 Inicio" xr:uid="{73CA5E90-FB19-4062-B433-3EC0E3815B04}"/>
    <hyperlink ref="B1" location="Portafolio!A1" display="📈 Portafolio" xr:uid="{57519558-9C83-4F59-9524-B5FDD0014B33}"/>
    <hyperlink ref="C1" location="Dashboard!A1" display="📊 Dashboard" xr:uid="{3E9E27FB-340C-4DF9-B0F5-5F77056A1EDD}"/>
    <hyperlink ref="D1" location="Historial!A1" display="📉 Historial" xr:uid="{CE0B77C2-F90C-4187-89EE-D39997E92A58}"/>
    <hyperlink ref="E1" location="'Base de Datos'!A1" display="🗃️ Base de Datos" xr:uid="{755A8988-AD19-4857-92E7-4A1BE7DF0895}"/>
    <hyperlink ref="F1" location="'Graficos Dashboard'!A1" display="📊 Gráficos" xr:uid="{ED39EEDC-93B5-4782-930B-97783FDB1E45}"/>
    <hyperlink ref="G1" location="HHIReal!A1" display="🧩 HHI Real" xr:uid="{0F673B20-5406-4F36-A37B-D417BD15869A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50F107-BAB7-421D-A99F-1FEBB1205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134</vt:i4>
      </vt:variant>
    </vt:vector>
  </HeadingPairs>
  <TitlesOfParts>
    <vt:vector size="141" baseType="lpstr">
      <vt:lpstr>🏠 Inicio</vt:lpstr>
      <vt:lpstr>Portafolio</vt:lpstr>
      <vt:lpstr>Dashboard</vt:lpstr>
      <vt:lpstr>Graficos Dashboard</vt:lpstr>
      <vt:lpstr>Base de Datos</vt:lpstr>
      <vt:lpstr>HHIReal</vt:lpstr>
      <vt:lpstr>Historial</vt:lpstr>
      <vt:lpstr>Portafolio!Área_de_impresión</vt:lpstr>
      <vt:lpstr>Portafolio!glide_00b9008d1d6a4fb08f00fb8f3ed0a5fe</vt:lpstr>
      <vt:lpstr>HHIReal!glide_02bdecda1bc44110bb29b5943d4e6ea9</vt:lpstr>
      <vt:lpstr>Historial!glide_03745db9d5b9469daee76b6453a3b846</vt:lpstr>
      <vt:lpstr>'Graficos Dashboard'!glide_03af792a41e5459084b10d5e26191ab8</vt:lpstr>
      <vt:lpstr>HHIReal!glide_03dd303c81de46b4837b963ba270cc85</vt:lpstr>
      <vt:lpstr>HHIReal!glide_0529e22de56146bd8e92d99332e37d2e</vt:lpstr>
      <vt:lpstr>Historial!glide_0b1f3f60c44548448f37849b0927d3b6</vt:lpstr>
      <vt:lpstr>HHIReal!glide_0dcef37f1dbd465b9870fc4bb1dc4e35</vt:lpstr>
      <vt:lpstr>HHIReal!glide_0f103fe39a044c6f8027fa305708569a</vt:lpstr>
      <vt:lpstr>Portafolio!glide_0f3bb8200dd54567a43ff2ddaa3edc4e</vt:lpstr>
      <vt:lpstr>HHIReal!glide_136f0db2dc114f8e9421af329aaa6af5</vt:lpstr>
      <vt:lpstr>'Base de Datos'!glide_142a26aca42a44aba2e0be3f9d0e3454</vt:lpstr>
      <vt:lpstr>'🏠 Inicio'!glide_17b389b334c841d9825a938c520714ce</vt:lpstr>
      <vt:lpstr>Historial!glide_1a163bc9f7274a0aba38cd34512c59c9</vt:lpstr>
      <vt:lpstr>HHIReal!glide_1a1880b3c49744dab34f2feb7b4546ea</vt:lpstr>
      <vt:lpstr>'Base de Datos'!glide_1c48590757bd40428c52ab15a10ea314</vt:lpstr>
      <vt:lpstr>HHIReal!glide_1e6f6b567dab4b05886445942e8bc020</vt:lpstr>
      <vt:lpstr>Portafolio!glide_21f004beff2345f6a6cdc5e4abd7fc3d</vt:lpstr>
      <vt:lpstr>HHIReal!glide_279bce3f90024551a53cc84863ca9b2f</vt:lpstr>
      <vt:lpstr>'Base de Datos'!glide_2b663f0ca5fd45b3bdf0c248e89807d1</vt:lpstr>
      <vt:lpstr>HHIReal!glide_2d80e0f866a4456e9ed39c3fc3d0724c</vt:lpstr>
      <vt:lpstr>HHIReal!glide_31289df1aff54e39b3efbd0a7ae0cd8c</vt:lpstr>
      <vt:lpstr>'Graficos Dashboard'!glide_36346f2ae6c4416e95586abd7de31602</vt:lpstr>
      <vt:lpstr>Portafolio!glide_36d56d6f538a44599c65bfa6d1893eb6</vt:lpstr>
      <vt:lpstr>'🏠 Inicio'!glide_370c6d8af01a4bf4b08d22ee380f081f</vt:lpstr>
      <vt:lpstr>Dashboard!glide_37b34dd6eaaa4e2d992ae90223aee6d4</vt:lpstr>
      <vt:lpstr>'🏠 Inicio'!glide_382daa53b6944eb6a3c9e22f1456a5a7</vt:lpstr>
      <vt:lpstr>Dashboard!glide_38348d16d5f14f9396f73dc13de00ac4</vt:lpstr>
      <vt:lpstr>'Graficos Dashboard'!glide_384bc553e6a8433eb88f7a1c0654b896</vt:lpstr>
      <vt:lpstr>HHIReal!glide_38b2c909574a459a97039b08383d59ae</vt:lpstr>
      <vt:lpstr>Portafolio!glide_3a1ae7a260d84942952fb0a21611e47a</vt:lpstr>
      <vt:lpstr>'Base de Datos'!glide_3a28c9b3045b42b89144a278b631363c</vt:lpstr>
      <vt:lpstr>'Base de Datos'!glide_3dfc6e0b4f29466688e03fe8d018865c</vt:lpstr>
      <vt:lpstr>'🏠 Inicio'!glide_3e14c0e826784b9db9e06f71993de942</vt:lpstr>
      <vt:lpstr>Historial!glide_3fc1fb93f0ab4fcdb24cea446f2fb020</vt:lpstr>
      <vt:lpstr>Portafolio!glide_468148c8647c485ca30a7e9ffc29d6ca</vt:lpstr>
      <vt:lpstr>Dashboard!glide_4c564737653d428d80b3a13e09153a3c</vt:lpstr>
      <vt:lpstr>Portafolio!glide_4e1adca4e3f94768961c858b07ee30d7</vt:lpstr>
      <vt:lpstr>Portafolio!glide_506c839151364b2797af6ed9e202dc27</vt:lpstr>
      <vt:lpstr>'🏠 Inicio'!glide_55124b9244f6452d81ed33c9cbc3286e</vt:lpstr>
      <vt:lpstr>HHIReal!glide_578521ddf58843099ed4a20ff822111d</vt:lpstr>
      <vt:lpstr>HHIReal!glide_57d3329ed8e04c8082dd863bd3b95c79</vt:lpstr>
      <vt:lpstr>'Graficos Dashboard'!glide_5900d1f464944b0cb092e9096baa275a</vt:lpstr>
      <vt:lpstr>'Graficos Dashboard'!glide_5907b4e0c2014f4ebab0585e74eb7298</vt:lpstr>
      <vt:lpstr>'Graficos Dashboard'!glide_59ba3abd62d5493d93390dfa543f6b58</vt:lpstr>
      <vt:lpstr>Historial!glide_5abd9434d47e49ca9be180b513453843</vt:lpstr>
      <vt:lpstr>Historial!glide_5f55ae7b0efa478ea46df8d763a809c3</vt:lpstr>
      <vt:lpstr>'🏠 Inicio'!glide_649b66d594624ed3ba02a8f2c3a20c72</vt:lpstr>
      <vt:lpstr>Dashboard!glide_656bed9fac894c3985450391793ffa84</vt:lpstr>
      <vt:lpstr>'Base de Datos'!glide_685fcd1678c54bf5986f7fdd23ed24a7</vt:lpstr>
      <vt:lpstr>'🏠 Inicio'!glide_6bbab217809e4e4b96c23530eab28b8a</vt:lpstr>
      <vt:lpstr>Dashboard!glide_6ce04cd261c5413aa1abf0d2af28ca38</vt:lpstr>
      <vt:lpstr>Historial!glide_6d8ee19ca732401a94534d3472a93c58</vt:lpstr>
      <vt:lpstr>HHIReal!glide_6dc1f2a27e8f4f3c9cf6793a9a5ff036</vt:lpstr>
      <vt:lpstr>'Base de Datos'!glide_6e2159048e7544eba59eef80e958a2aa</vt:lpstr>
      <vt:lpstr>HHIReal!glide_6e97421924564292ac6b6b30f3276748</vt:lpstr>
      <vt:lpstr>Portafolio!glide_6ed9895e784e42cb9e71532ac523b8a2</vt:lpstr>
      <vt:lpstr>Historial!glide_6ef9b66348ba4b6fa58d35839f1dc485</vt:lpstr>
      <vt:lpstr>'🏠 Inicio'!glide_73469a1bec0242f28c6c97c226fed98d</vt:lpstr>
      <vt:lpstr>Dashboard!glide_752702ba13734190b2bc76894007f60d</vt:lpstr>
      <vt:lpstr>HHIReal!glide_7584d7c7c81448f5a9736cac5772e03d</vt:lpstr>
      <vt:lpstr>'Base de Datos'!glide_76b133f91ddc4f50b70768f7f2463f5d</vt:lpstr>
      <vt:lpstr>'Base de Datos'!glide_7a875eaf3f2942efa7766f3a990b6594</vt:lpstr>
      <vt:lpstr>Portafolio!glide_7af54b2d7ee7408aa1480a8d038d54b7</vt:lpstr>
      <vt:lpstr>'🏠 Inicio'!glide_7cc935e341c04b6db5d6cb953286838c</vt:lpstr>
      <vt:lpstr>HHIReal!glide_800f6136ac61426b83b5224a7ee4c40c</vt:lpstr>
      <vt:lpstr>'🏠 Inicio'!glide_804844e4685049188d6cab024ce91354</vt:lpstr>
      <vt:lpstr>Portafolio!glide_8088c1e2b329456e91ed4913f4b8d321</vt:lpstr>
      <vt:lpstr>Dashboard!glide_81f7217248cd458d8584a07391180f7b</vt:lpstr>
      <vt:lpstr>'Graficos Dashboard'!glide_82e405736c7c441d96b5ec97b02edad2</vt:lpstr>
      <vt:lpstr>'Base de Datos'!glide_847a35f22b22426da1c89c60a7a2b3ef</vt:lpstr>
      <vt:lpstr>Historial!glide_847eed93e0ba4a04b1e5104ce2feb34a</vt:lpstr>
      <vt:lpstr>Dashboard!glide_88d72cec5b8d405f9a57191757b11a60</vt:lpstr>
      <vt:lpstr>'Base de Datos'!glide_8b0eaa9a0c6f488aaf44d17e15fdb701</vt:lpstr>
      <vt:lpstr>Dashboard!glide_8bbe06f9b32a4e3b80bfc55d5cee27cc</vt:lpstr>
      <vt:lpstr>'🏠 Inicio'!glide_8d3c853b09ca4b8c846779f91a718f87</vt:lpstr>
      <vt:lpstr>'Base de Datos'!glide_8d968a9adcd84b0ca05686340b04fc93</vt:lpstr>
      <vt:lpstr>HHIReal!glide_8daf2d645ce74de88de0cb9259bbe090</vt:lpstr>
      <vt:lpstr>Portafolio!glide_8e25b5d090584e66b53a6d5be519f658</vt:lpstr>
      <vt:lpstr>HHIReal!glide_932b7dacdc0a4599ab747697e35d6e9b</vt:lpstr>
      <vt:lpstr>'Base de Datos'!glide_9333f4c3e022413a996fe2767a1534f6</vt:lpstr>
      <vt:lpstr>HHIReal!glide_95cd7651a1c345a8a458d1a13f9fbe83</vt:lpstr>
      <vt:lpstr>Dashboard!glide_96a8a9db943f464ca2c0b1316d99acf4</vt:lpstr>
      <vt:lpstr>HHIReal!glide_9948d23385af40eda3ea676b3f8eb0d4</vt:lpstr>
      <vt:lpstr>Portafolio!glide_9a68e88cd03e450db3b5b6380688ca08</vt:lpstr>
      <vt:lpstr>Dashboard!glide_9ba53bc58a31479e94c3faeb02fa7c99</vt:lpstr>
      <vt:lpstr>Portafolio!glide_9d98ab993da54065b77e77e0aca14ecc</vt:lpstr>
      <vt:lpstr>HHIReal!glide_9e31718fd05845d8b12d365969d32cac</vt:lpstr>
      <vt:lpstr>'🏠 Inicio'!glide_9eee3185109e4330a673491b5311e48d</vt:lpstr>
      <vt:lpstr>'🏠 Inicio'!glide_9f448af118294af6b985bd4cb2877ee8</vt:lpstr>
      <vt:lpstr>'Base de Datos'!glide_9f639218b1b841c0a5613ad2d5a4be00</vt:lpstr>
      <vt:lpstr>Dashboard!glide_9f9f4751f1c0410d946310a581176062</vt:lpstr>
      <vt:lpstr>'Graficos Dashboard'!glide_a3693e2db2d3491c8fcca57409965c75</vt:lpstr>
      <vt:lpstr>HHIReal!glide_a517ead51ebe428faae2c8e40196b6a8</vt:lpstr>
      <vt:lpstr>'Base de Datos'!glide_a7257ce8992f4fbbab2193ba9c298700</vt:lpstr>
      <vt:lpstr>'Base de Datos'!glide_ac6b1df9853e4713b08520fe20261f29</vt:lpstr>
      <vt:lpstr>Dashboard!glide_ae788659e84b402a896c7e0a6665d65e</vt:lpstr>
      <vt:lpstr>Historial!glide_af99dcdd182844ce9471ee89ba004df5</vt:lpstr>
      <vt:lpstr>Portafolio!glide_afd7159141ef4b70a30e9173a5cca2df</vt:lpstr>
      <vt:lpstr>'Graficos Dashboard'!glide_b22ddb0cc29b4353a97336d611c8fa85</vt:lpstr>
      <vt:lpstr>HHIReal!glide_b29cec23464f4b339ccc227ae7e5ed84</vt:lpstr>
      <vt:lpstr>Dashboard!glide_b649d684a041465cb9fe7ce582cde406</vt:lpstr>
      <vt:lpstr>Historial!glide_bc6c3a3a1d5e43829602ffb53bb5bd42</vt:lpstr>
      <vt:lpstr>'Base de Datos'!glide_bd52d1589b1d43eb9e00b6acf4b92260</vt:lpstr>
      <vt:lpstr>'Base de Datos'!glide_bd8b208eb6294d57af1fe49d8105b717</vt:lpstr>
      <vt:lpstr>Dashboard!glide_c1c609c9570742b1abcd70657b85d616</vt:lpstr>
      <vt:lpstr>'Graficos Dashboard'!glide_c378185df43d4bcbb131e3ac90d5fa5a</vt:lpstr>
      <vt:lpstr>'Base de Datos'!glide_c51e0d5b13e24a0e9e99d95b98ac2bca</vt:lpstr>
      <vt:lpstr>Dashboard!glide_cb87f7b0f3be40a588ea41f5ead9e73e</vt:lpstr>
      <vt:lpstr>Dashboard!glide_cb9bd452db4e42a3a3b91b59865c3f5b</vt:lpstr>
      <vt:lpstr>'Base de Datos'!glide_cfdaf08fb33840dc9400024bd977aa2c</vt:lpstr>
      <vt:lpstr>'Base de Datos'!glide_d2bc4e3be32f48689d57ccc4324820ee</vt:lpstr>
      <vt:lpstr>'Graficos Dashboard'!glide_dd9fadd0f4db4579a48f7c5d3c86ffc2</vt:lpstr>
      <vt:lpstr>Dashboard!glide_df22fb7ce66b4930b387a190feed22be</vt:lpstr>
      <vt:lpstr>'Base de Datos'!glide_df34e14020fc4a60a0c7d7005bcfed01</vt:lpstr>
      <vt:lpstr>'Base de Datos'!glide_df46ddf6afce4bcba2be0f79f8996d88</vt:lpstr>
      <vt:lpstr>HHIReal!glide_dfd0e5ec954941a4bd855031722839fb</vt:lpstr>
      <vt:lpstr>Dashboard!glide_e3d026ec135b4ce0b792f6568ad34a12</vt:lpstr>
      <vt:lpstr>Portafolio!glide_e4b156b7a0e14ffeaebdf204e1475224</vt:lpstr>
      <vt:lpstr>'Base de Datos'!glide_e6a49a63c60b4955aeff47e080dbd36e</vt:lpstr>
      <vt:lpstr>'🏠 Inicio'!glide_e81811fb61c748dba802dc146fdd21df</vt:lpstr>
      <vt:lpstr>'🏠 Inicio'!glide_e95a1023731949709c6ce1b2c2efe7dd</vt:lpstr>
      <vt:lpstr>'Base de Datos'!glide_ea27b12b5f0e494287c13769fe5d4642</vt:lpstr>
      <vt:lpstr>'Base de Datos'!glide_eab36ec159d54cd08bad412ad4c888a5</vt:lpstr>
      <vt:lpstr>HHIReal!glide_ed56f54b4a494753a00caabac1fd8a8b</vt:lpstr>
      <vt:lpstr>Historial!glide_f2f5a040b2ff414790d4fda1ecef7c26</vt:lpstr>
      <vt:lpstr>'Base de Datos'!glide_f40e29b1715e4b6496ef3f3d0946004a</vt:lpstr>
      <vt:lpstr>'Graficos Dashboard'!glide_f5fa1dadf68b43a69f8345ed2d400081</vt:lpstr>
      <vt:lpstr>HHIReal!glide_f747e701e2b145058e46774f2d0671dd</vt:lpstr>
      <vt:lpstr>Dashboard!glide_fc77ea6780544db686e33e150f5b5ad9</vt:lpstr>
      <vt:lpstr>'Graficos Dashboard'!glide_fe6716786111411da271e96b4baef1af</vt:lpstr>
      <vt:lpstr>'Graficos Dashboard'!glide_feb5868409d24e7fb895ea55ab626a02</vt:lpstr>
      <vt:lpstr>HHIReal!glide_ffa77e7fb0b54b0a851eed48aa6ef537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de Jesus de la Fuente Rivera</dc:creator>
  <cp:keywords/>
  <dc:description/>
  <cp:lastModifiedBy>Manuel de Jesus de la Fuente Rivera</cp:lastModifiedBy>
  <cp:revision/>
  <dcterms:created xsi:type="dcterms:W3CDTF">2026-05-18T17:30:33Z</dcterms:created>
  <dcterms:modified xsi:type="dcterms:W3CDTF">2026-06-05T04:59:07Z</dcterms:modified>
  <cp:category/>
  <cp:contentStatus/>
</cp:coreProperties>
</file>